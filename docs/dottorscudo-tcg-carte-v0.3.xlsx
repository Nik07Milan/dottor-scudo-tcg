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ole" sheetId="1" state="visible" r:id="rId3"/>
    <sheet name="Keyword" sheetId="2" state="visible" r:id="rId4"/>
    <sheet name="Eroi" sheetId="3" state="visible" r:id="rId5"/>
    <sheet name="Carte" sheetId="4" state="visible" r:id="rId6"/>
    <sheet name="Riepilogo" sheetId="5" state="visible" r:id="rId7"/>
    <sheet name="Immagini" sheetId="6" state="visible" r:id="rId8"/>
  </sheets>
  <definedNames>
    <definedName function="false" hidden="true" localSheetId="3" name="_xlnm._FilterDatabase" vbProcedure="false">Carte!$A$1:$L$52</definedName>
    <definedName function="false" hidden="true" localSheetId="2" name="_xlnm._FilterDatabase" vbProcedure="false">Eroi!$A$1:$G$10</definedName>
    <definedName function="false" hidden="true" localSheetId="5" name="_xlnm._FilterDatabase" vbProcedure="false">Immagini!$A$3:$C$13</definedName>
    <definedName function="false" hidden="true" localSheetId="1" name="_xlnm._FilterDatabase" vbProcedure="false">Keyword!$A$1:$C$10</definedName>
    <definedName function="false" hidden="true" localSheetId="0" name="_xlnm._FilterDatabase" vbProcedure="false">Regole!$A$4:$D$14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<sst xmlns="http://schemas.openxmlformats.org/spreadsheetml/2006/main" count="579" uniqueCount="336">
  <si>
    <t xml:space="preserve">DottorScudo TCG — Regole base v0.3</t>
  </si>
  <si>
    <t xml:space="preserve">Valori in blu = parametri modificabili. Celle gialle = da confermare.</t>
  </si>
  <si>
    <t xml:space="preserve">Regola</t>
  </si>
  <si>
    <t xml:space="preserve">Nome a tema</t>
  </si>
  <si>
    <t xml:space="preserve">Descrizione</t>
  </si>
  <si>
    <t xml:space="preserve">Valore</t>
  </si>
  <si>
    <t xml:space="preserve">Risorsa</t>
  </si>
  <si>
    <t xml:space="preserve">Caffettini</t>
  </si>
  <si>
    <t xml:space="preserve">1 al primo turno, +1 a turno</t>
  </si>
  <si>
    <t xml:space="preserve">1 → 10</t>
  </si>
  <si>
    <t xml:space="preserve">Bonus secondo giocatore</t>
  </si>
  <si>
    <t xml:space="preserve">Caffettino extra</t>
  </si>
  <si>
    <t xml:space="preserve">Carta usa e getta per chi gioca per secondo</t>
  </si>
  <si>
    <t xml:space="preserve">Punti vita eroe</t>
  </si>
  <si>
    <t xml:space="preserve">Ore di ferie</t>
  </si>
  <si>
    <t xml:space="preserve">A zero ferie si perde (omaggio all'albo #120)</t>
  </si>
  <si>
    <t xml:space="preserve">Dimensione mazzo</t>
  </si>
  <si>
    <t xml:space="preserve">Mazzo</t>
  </si>
  <si>
    <t xml:space="preserve">Carte per mazzo (max 2 copie, 1 per le Leggendarie)</t>
  </si>
  <si>
    <t xml:space="preserve">Mano iniziale</t>
  </si>
  <si>
    <t xml:space="preserve">Mano</t>
  </si>
  <si>
    <t xml:space="preserve">Carte iniziali, con mulligan</t>
  </si>
  <si>
    <t xml:space="preserve">3 / 4</t>
  </si>
  <si>
    <t xml:space="preserve">Limite campo</t>
  </si>
  <si>
    <t xml:space="preserve">Scrivanie</t>
  </si>
  <si>
    <t xml:space="preserve">Massimo servitori per lato</t>
  </si>
  <si>
    <t xml:space="preserve">Mazzo esaurito</t>
  </si>
  <si>
    <t xml:space="preserve">Burnout</t>
  </si>
  <si>
    <t xml:space="preserve">Danni crescenti a ogni pesca a vuoto</t>
  </si>
  <si>
    <t xml:space="preserve">1, 2, 3…</t>
  </si>
  <si>
    <t xml:space="preserve">Timer turno</t>
  </si>
  <si>
    <t xml:space="preserve">Timer</t>
  </si>
  <si>
    <t xml:space="preserve">Secondi per turno (vincolo online)</t>
  </si>
  <si>
    <t xml:space="preserve">Fazioni</t>
  </si>
  <si>
    <t xml:space="preserve">Ufficio / Soci &amp; Nemici</t>
  </si>
  <si>
    <t xml:space="preserve">Ogni eroe usa le carte della sua fazione + le proprie carte firma + le Neutrali</t>
  </si>
  <si>
    <t xml:space="preserve">—</t>
  </si>
  <si>
    <t xml:space="preserve">Leggendarie</t>
  </si>
  <si>
    <t xml:space="preserve">Soci</t>
  </si>
  <si>
    <t xml:space="preserve">I soci e i boss sono carte Leggendarie (1 copia per mazzo)</t>
  </si>
  <si>
    <t xml:space="preserve">Keyword</t>
  </si>
  <si>
    <t xml:space="preserve">Equivalente Hearthstone</t>
  </si>
  <si>
    <t xml:space="preserve">Effetto</t>
  </si>
  <si>
    <t xml:space="preserve">Deploy</t>
  </si>
  <si>
    <t xml:space="preserve">Grido di battaglia</t>
  </si>
  <si>
    <t xml:space="preserve">Effetto quando la carta viene giocata</t>
  </si>
  <si>
    <t xml:space="preserve">Burocrazia</t>
  </si>
  <si>
    <t xml:space="preserve">Provocazione</t>
  </si>
  <si>
    <t xml:space="preserve">I nemici devono attaccare prima questo servitore</t>
  </si>
  <si>
    <t xml:space="preserve">Scudato</t>
  </si>
  <si>
    <t xml:space="preserve">Scudo divino</t>
  </si>
  <si>
    <t xml:space="preserve">Il primo danno subito viene ignorato</t>
  </si>
  <si>
    <t xml:space="preserve">Urgente</t>
  </si>
  <si>
    <t xml:space="preserve">Assalto</t>
  </si>
  <si>
    <t xml:space="preserve">Può attaccare servitori nel turno in cui entra</t>
  </si>
  <si>
    <t xml:space="preserve">Smart working</t>
  </si>
  <si>
    <t xml:space="preserve">Furtività</t>
  </si>
  <si>
    <t xml:space="preserve">Non può essere bersagliato finché non attacca</t>
  </si>
  <si>
    <t xml:space="preserve">Mani in merda</t>
  </si>
  <si>
    <t xml:space="preserve">Veleno</t>
  </si>
  <si>
    <t xml:space="preserve">Distrugge qualunque servitore a cui infligge danni</t>
  </si>
  <si>
    <t xml:space="preserve">Ultimo sorso</t>
  </si>
  <si>
    <t xml:space="preserve">Rantolo di morte</t>
  </si>
  <si>
    <t xml:space="preserve">Effetto quando il servitore muore</t>
  </si>
  <si>
    <t xml:space="preserve">Bloccato in riunione</t>
  </si>
  <si>
    <t xml:space="preserve">Congelato</t>
  </si>
  <si>
    <t xml:space="preserve">Non può attaccare nel suo prossimo turno</t>
  </si>
  <si>
    <t xml:space="preserve">Task</t>
  </si>
  <si>
    <t xml:space="preserve">Missione</t>
  </si>
  <si>
    <t xml:space="preserve">Obiettivo da completare per ottenere una ricompensa</t>
  </si>
  <si>
    <t xml:space="preserve">Eroe</t>
  </si>
  <si>
    <t xml:space="preserve">Fazione</t>
  </si>
  <si>
    <t xml:space="preserve">Potere eroe</t>
  </si>
  <si>
    <t xml:space="preserve">Costo</t>
  </si>
  <si>
    <t xml:space="preserve">Immagine</t>
  </si>
  <si>
    <t xml:space="preserve">Riferimento lore</t>
  </si>
  <si>
    <t xml:space="preserve">Dottor Scudo</t>
  </si>
  <si>
    <t xml:space="preserve">Ufficio</t>
  </si>
  <si>
    <t xml:space="preserve">Alza lo scudo</t>
  </si>
  <si>
    <t xml:space="preserve">Un tuo collega diventa Scudato, oppure ottieni 2 di armatura</t>
  </si>
  <si>
    <t xml:space="preserve">avatar-1.jpg</t>
  </si>
  <si>
    <t xml:space="preserve">Albi #1, #119</t>
  </si>
  <si>
    <t xml:space="preserve">Nikson</t>
  </si>
  <si>
    <t xml:space="preserve">Raccogli sassi</t>
  </si>
  <si>
    <t xml:space="preserve">Aggiungi un Sasso alla tua mano</t>
  </si>
  <si>
    <t xml:space="preserve">avatar-2.jpg</t>
  </si>
  <si>
    <t xml:space="preserve">Albi #3, #6, #25</t>
  </si>
  <si>
    <t xml:space="preserve">Jackson</t>
  </si>
  <si>
    <t xml:space="preserve">Scoppio d'ira</t>
  </si>
  <si>
    <t xml:space="preserve">Infliggi 1 danno a tutti i servitori nemici e 1 al tuo eroe</t>
  </si>
  <si>
    <t xml:space="preserve">avatar-3.jpg (da confermare)</t>
  </si>
  <si>
    <t xml:space="preserve">Albo #5</t>
  </si>
  <si>
    <t xml:space="preserve">Milet</t>
  </si>
  <si>
    <t xml:space="preserve">La via del Giappi</t>
  </si>
  <si>
    <t xml:space="preserve">La prossima Pratica che giochi in questo turno costa 2 in meno</t>
  </si>
  <si>
    <t xml:space="preserve">avatar-5.jpg (da confermare)</t>
  </si>
  <si>
    <t xml:space="preserve">Albo #4</t>
  </si>
  <si>
    <t xml:space="preserve">Ale</t>
  </si>
  <si>
    <t xml:space="preserve">Fuga dalla riunione</t>
  </si>
  <si>
    <t xml:space="preserve">Rimanda in mano un tuo collega: costa 1 in meno</t>
  </si>
  <si>
    <t xml:space="preserve">da confermare</t>
  </si>
  <si>
    <t xml:space="preserve">Albi #10, #11, #12, #28</t>
  </si>
  <si>
    <t xml:space="preserve">Il Creatore</t>
  </si>
  <si>
    <t xml:space="preserve">Nuova tavola</t>
  </si>
  <si>
    <t xml:space="preserve">Scopri un collega dell'Ufficio (scegline 1 tra 3) e aggiungilo alla tua mano</t>
  </si>
  <si>
    <t xml:space="preserve">Autore di tutti gli albi (Enriquez da Sosa), tag #SOSA</t>
  </si>
  <si>
    <t xml:space="preserve">Dr Grappolo</t>
  </si>
  <si>
    <t xml:space="preserve">Soci &amp; Nemici</t>
  </si>
  <si>
    <t xml:space="preserve">Lavaggio del cervello</t>
  </si>
  <si>
    <t xml:space="preserve">Evoca uno Studente plagiato 1/1</t>
  </si>
  <si>
    <t xml:space="preserve">avatar-7.jpg (da confermare)</t>
  </si>
  <si>
    <t xml:space="preserve">Albi #1, #10</t>
  </si>
  <si>
    <t xml:space="preserve">Il Calabrone</t>
  </si>
  <si>
    <t xml:space="preserve">Pungiglione</t>
  </si>
  <si>
    <t xml:space="preserve">Infliggi 2 danni all'eroe nemico</t>
  </si>
  <si>
    <t xml:space="preserve">Albi #31, #51</t>
  </si>
  <si>
    <t xml:space="preserve">Lord Capognus</t>
  </si>
  <si>
    <t xml:space="preserve">L'esperimento</t>
  </si>
  <si>
    <t xml:space="preserve">Dai +2 attacco a un tuo servitore; subisce 1 danno</t>
  </si>
  <si>
    <t xml:space="preserve">Albo #24</t>
  </si>
  <si>
    <t xml:space="preserve">Gli eroi dell'Ufficio sono i colleghi; la fazione Soci &amp; Nemici ha tre eroi iniziali. Ruoli e avatar vanno confermati.</t>
  </si>
  <si>
    <t xml:space="preserve">Nome</t>
  </si>
  <si>
    <t xml:space="preserve">Carta firma di</t>
  </si>
  <si>
    <t xml:space="preserve">Rarità</t>
  </si>
  <si>
    <t xml:space="preserve">Tipo</t>
  </si>
  <si>
    <t xml:space="preserve">Attacco</t>
  </si>
  <si>
    <t xml:space="preserve">Vita / Durabilità</t>
  </si>
  <si>
    <t xml:space="preserve">Immagine (sorgente)</t>
  </si>
  <si>
    <t xml:space="preserve">Scudo dell'ultimo momento</t>
  </si>
  <si>
    <t xml:space="preserve">Rara</t>
  </si>
  <si>
    <t xml:space="preserve">Pratica</t>
  </si>
  <si>
    <t xml:space="preserve">Dai Scudato a un collega. Pesca una carta</t>
  </si>
  <si>
    <t xml:space="preserve">Albo #119</t>
  </si>
  <si>
    <t xml:space="preserve">albo-119.webp</t>
  </si>
  <si>
    <t xml:space="preserve">Scudo Bike</t>
  </si>
  <si>
    <t xml:space="preserve">Comune</t>
  </si>
  <si>
    <t xml:space="preserve">Strumento</t>
  </si>
  <si>
    <t xml:space="preserve">Dopo che il tuo eroe attacca, ottieni 1 armatura</t>
  </si>
  <si>
    <t xml:space="preserve">Albo #38</t>
  </si>
  <si>
    <t xml:space="preserve">albo-038.webp</t>
  </si>
  <si>
    <t xml:space="preserve">Scudozord</t>
  </si>
  <si>
    <t xml:space="preserve">Leggendaria</t>
  </si>
  <si>
    <t xml:space="preserve">Collega</t>
  </si>
  <si>
    <t xml:space="preserve">Burocrazia, Deploy</t>
  </si>
  <si>
    <t xml:space="preserve">Dai Scudato a tutti gli altri tuoi colleghi</t>
  </si>
  <si>
    <t xml:space="preserve">Saga Zanzagallo e Sociozilla (#81-86)</t>
  </si>
  <si>
    <t xml:space="preserve">albo-081.webp</t>
  </si>
  <si>
    <t xml:space="preserve">Sasso</t>
  </si>
  <si>
    <t xml:space="preserve">Token</t>
  </si>
  <si>
    <t xml:space="preserve">Dai +1/+1 a un collega</t>
  </si>
  <si>
    <t xml:space="preserve">Albo #6</t>
  </si>
  <si>
    <t xml:space="preserve">albo-006.webp</t>
  </si>
  <si>
    <t xml:space="preserve">Uomo Sasso</t>
  </si>
  <si>
    <t xml:space="preserve">Epica</t>
  </si>
  <si>
    <t xml:space="preserve">+1/+1 per ogni Sasso giocato in questa partita</t>
  </si>
  <si>
    <t xml:space="preserve">Albo #3</t>
  </si>
  <si>
    <t xml:space="preserve">albo-003.webp</t>
  </si>
  <si>
    <t xml:space="preserve">Serranikson</t>
  </si>
  <si>
    <t xml:space="preserve">Distruggi un servitore nemico con 3 o meno attacco</t>
  </si>
  <si>
    <t xml:space="preserve">Albo #25</t>
  </si>
  <si>
    <t xml:space="preserve">albo-025.webp</t>
  </si>
  <si>
    <t xml:space="preserve">Infliggi 2 danni a tutti i servitori</t>
  </si>
  <si>
    <t xml:space="preserve">albo-005.webp</t>
  </si>
  <si>
    <t xml:space="preserve">Collega furioso</t>
  </si>
  <si>
    <t xml:space="preserve">Quando subisce danni, infligge 1 danno a tutti gli altri servitori</t>
  </si>
  <si>
    <t xml:space="preserve">Sushi di fiducia</t>
  </si>
  <si>
    <t xml:space="preserve">Rigenera 4 ferie. Pesca una carta</t>
  </si>
  <si>
    <t xml:space="preserve">albo-004.webp</t>
  </si>
  <si>
    <t xml:space="preserve">Miletta</t>
  </si>
  <si>
    <t xml:space="preserve">Evoca uno Spirito zanzara 1/1 per l'avversario</t>
  </si>
  <si>
    <t xml:space="preserve">Albi #74, #75</t>
  </si>
  <si>
    <t xml:space="preserve">albo-074.webp</t>
  </si>
  <si>
    <t xml:space="preserve">Incatenato alla postazione</t>
  </si>
  <si>
    <t xml:space="preserve">Un servitore nemico è Bloccato in riunione</t>
  </si>
  <si>
    <t xml:space="preserve">Albi #10-12</t>
  </si>
  <si>
    <t xml:space="preserve">albo-010.webp</t>
  </si>
  <si>
    <t xml:space="preserve">Klaudioken</t>
  </si>
  <si>
    <t xml:space="preserve">Infliggi 5 danni</t>
  </si>
  <si>
    <t xml:space="preserve">Albi #114, #119</t>
  </si>
  <si>
    <t xml:space="preserve">albo-114.webp</t>
  </si>
  <si>
    <t xml:space="preserve">Re Klaudio</t>
  </si>
  <si>
    <t xml:space="preserve">Pesca 2 carte; costano 1 in meno</t>
  </si>
  <si>
    <t xml:space="preserve">Albi #111, #115</t>
  </si>
  <si>
    <t xml:space="preserve">albo-111.webp</t>
  </si>
  <si>
    <t xml:space="preserve">Portinaio dell'aldilà</t>
  </si>
  <si>
    <t xml:space="preserve">Riporta in mano un tuo collega morto in questa partita</t>
  </si>
  <si>
    <t xml:space="preserve">albo-115.webp</t>
  </si>
  <si>
    <t xml:space="preserve">Bozza a matita</t>
  </si>
  <si>
    <t xml:space="preserve">Scopri una Pratica dell'Ufficio</t>
  </si>
  <si>
    <t xml:space="preserve">Tag #SOSA</t>
  </si>
  <si>
    <t xml:space="preserve">Retcon</t>
  </si>
  <si>
    <t xml:space="preserve">Rimanda tutti i servitori in mano ai rispettivi proprietari</t>
  </si>
  <si>
    <t xml:space="preserve">La Lore dell'ufficio</t>
  </si>
  <si>
    <t xml:space="preserve">Evoca 3 colleghi casuali dell'Ufficio con costo 3 o meno</t>
  </si>
  <si>
    <t xml:space="preserve">Saga La Lore dell'ufficio (#1-45)</t>
  </si>
  <si>
    <t xml:space="preserve">albo-001.webp</t>
  </si>
  <si>
    <t xml:space="preserve">Il Crudo</t>
  </si>
  <si>
    <t xml:space="preserve">Albo #2</t>
  </si>
  <si>
    <t xml:space="preserve">albo-002.webp</t>
  </si>
  <si>
    <t xml:space="preserve">Super Crudo</t>
  </si>
  <si>
    <t xml:space="preserve">Dai +2/+2 a tutti gli altri tuoi colleghi</t>
  </si>
  <si>
    <t xml:space="preserve">Albi #47-49</t>
  </si>
  <si>
    <t xml:space="preserve">albo-047.webp</t>
  </si>
  <si>
    <t xml:space="preserve">Scorta di Teresa</t>
  </si>
  <si>
    <t xml:space="preserve">Rigenera 3 ferie</t>
  </si>
  <si>
    <t xml:space="preserve">Albi #115, #117</t>
  </si>
  <si>
    <t xml:space="preserve">Tatine Mobile</t>
  </si>
  <si>
    <t xml:space="preserve">Il tuo eroe può attaccare due volte per turno</t>
  </si>
  <si>
    <t xml:space="preserve">Albi #55, #56</t>
  </si>
  <si>
    <t xml:space="preserve">albo-055.webp</t>
  </si>
  <si>
    <t xml:space="preserve">Emergenza ritardi</t>
  </si>
  <si>
    <t xml:space="preserve">Un collega ottiene Urgente e +1 attacco</t>
  </si>
  <si>
    <t xml:space="preserve">Tag #EMERGENZA RITARDI</t>
  </si>
  <si>
    <t xml:space="preserve">Ciao Guido, sono Guido</t>
  </si>
  <si>
    <t xml:space="preserve">Evoca una copia 1/1 di un tuo collega</t>
  </si>
  <si>
    <t xml:space="preserve">Tag #CIAO GUIDO SONO GUIDO</t>
  </si>
  <si>
    <t xml:space="preserve">Il Cursore</t>
  </si>
  <si>
    <t xml:space="preserve">Pesca una carta</t>
  </si>
  <si>
    <t xml:space="preserve">Albi #81-83</t>
  </si>
  <si>
    <t xml:space="preserve">Le Task</t>
  </si>
  <si>
    <t xml:space="preserve">Gioca 5 Pratiche. Ricompensa: Ferie arretrate (rigenera 10 ferie)</t>
  </si>
  <si>
    <t xml:space="preserve">Albi #19, #96, #120</t>
  </si>
  <si>
    <t xml:space="preserve">albo-019.webp</t>
  </si>
  <si>
    <t xml:space="preserve">La Zanzara</t>
  </si>
  <si>
    <t xml:space="preserve">Urgente, Mani in merda</t>
  </si>
  <si>
    <t xml:space="preserve">Saga Zanzara e Ragno (#109-120)</t>
  </si>
  <si>
    <t xml:space="preserve">albo-120.webp</t>
  </si>
  <si>
    <t xml:space="preserve">Il Ragno</t>
  </si>
  <si>
    <t xml:space="preserve">Un collega nemico è Bloccato in riunione per 2 turni</t>
  </si>
  <si>
    <t xml:space="preserve">Albi #78, #84, #120</t>
  </si>
  <si>
    <t xml:space="preserve">albo-084.webp</t>
  </si>
  <si>
    <t xml:space="preserve">All'inizio del tuo turno evoca una Zanzarina 1/1</t>
  </si>
  <si>
    <t xml:space="preserve">Saga La tirannia del Calabrone</t>
  </si>
  <si>
    <t xml:space="preserve">albo-051.webp</t>
  </si>
  <si>
    <t xml:space="preserve">Evoca due Studenti plagiati 1/1</t>
  </si>
  <si>
    <t xml:space="preserve">Albo #1</t>
  </si>
  <si>
    <t xml:space="preserve">Il Grappolaccio</t>
  </si>
  <si>
    <t xml:space="preserve">Infliggi 2 danni a tutti i colleghi nemici</t>
  </si>
  <si>
    <t xml:space="preserve">Albi #32, #33, #49</t>
  </si>
  <si>
    <t xml:space="preserve">albo-032.webp</t>
  </si>
  <si>
    <t xml:space="preserve">Sociozilla</t>
  </si>
  <si>
    <t xml:space="preserve">Infliggi 2 danni a tutti gli altri servitori</t>
  </si>
  <si>
    <t xml:space="preserve">Albi #79-83</t>
  </si>
  <si>
    <t xml:space="preserve">albo-079.webp</t>
  </si>
  <si>
    <t xml:space="preserve">Margherita</t>
  </si>
  <si>
    <t xml:space="preserve">Il tuo prossimo Grappolaccio costa 3 in meno</t>
  </si>
  <si>
    <t xml:space="preserve">Albo #9</t>
  </si>
  <si>
    <t xml:space="preserve">albo-009.webp</t>
  </si>
  <si>
    <t xml:space="preserve">Il Serramanico</t>
  </si>
  <si>
    <t xml:space="preserve">Prendi il controllo di un collega nemico con 2 o meno attacco</t>
  </si>
  <si>
    <t xml:space="preserve">Albi #24-26</t>
  </si>
  <si>
    <t xml:space="preserve">albo-024.webp</t>
  </si>
  <si>
    <t xml:space="preserve">Zanzagallo</t>
  </si>
  <si>
    <t xml:space="preserve">Alla fine del tuo turno, infligge 1 danno a tutti i colleghi nemici</t>
  </si>
  <si>
    <t xml:space="preserve">Albi #76-78</t>
  </si>
  <si>
    <t xml:space="preserve">albo-076.webp</t>
  </si>
  <si>
    <t xml:space="preserve">La Canalis</t>
  </si>
  <si>
    <t xml:space="preserve">Albi #63-66</t>
  </si>
  <si>
    <t xml:space="preserve">albo-063.webp</t>
  </si>
  <si>
    <t xml:space="preserve">Il Serpentone</t>
  </si>
  <si>
    <t xml:space="preserve">Albi #111-114</t>
  </si>
  <si>
    <t xml:space="preserve">Sermig: reparto sfruttamento</t>
  </si>
  <si>
    <t xml:space="preserve">I tuoi servitori ottengono +2 attacco e subiscono 1 danno</t>
  </si>
  <si>
    <t xml:space="preserve">Albi #7, #62, #64</t>
  </si>
  <si>
    <t xml:space="preserve">albo-062.webp</t>
  </si>
  <si>
    <t xml:space="preserve">Troiaio Comunicazioni</t>
  </si>
  <si>
    <t xml:space="preserve">Pesca 2 carte. L'avversario pesca 1 carta</t>
  </si>
  <si>
    <t xml:space="preserve">Albi #67-69</t>
  </si>
  <si>
    <t xml:space="preserve">albo-067.webp</t>
  </si>
  <si>
    <t xml:space="preserve">Assedio dei call center</t>
  </si>
  <si>
    <t xml:space="preserve">Evoca tre Operatori 1/2 con Burocrazia</t>
  </si>
  <si>
    <t xml:space="preserve">Albo #20</t>
  </si>
  <si>
    <t xml:space="preserve">albo-020.webp</t>
  </si>
  <si>
    <t xml:space="preserve">La maledizione della tapparella</t>
  </si>
  <si>
    <t xml:space="preserve">Un collega nemico è Bloccato in riunione e perde Burocrazia</t>
  </si>
  <si>
    <t xml:space="preserve">Albo #52</t>
  </si>
  <si>
    <t xml:space="preserve">albo-052.webp</t>
  </si>
  <si>
    <t xml:space="preserve">Progetto Nettuno</t>
  </si>
  <si>
    <t xml:space="preserve">Evoca 6 servitori. Ricompensa: Nettuno 8/8 con Burocrazia</t>
  </si>
  <si>
    <t xml:space="preserve">Albi #33-38</t>
  </si>
  <si>
    <t xml:space="preserve">albo-033.webp</t>
  </si>
  <si>
    <t xml:space="preserve">Riunione infinita</t>
  </si>
  <si>
    <t xml:space="preserve">Tutti i colleghi nemici sono Bloccati in riunione</t>
  </si>
  <si>
    <t xml:space="preserve">Caffettino</t>
  </si>
  <si>
    <t xml:space="preserve">Neutrale</t>
  </si>
  <si>
    <t xml:space="preserve">Ottieni 1 caffettino solo per questo turno</t>
  </si>
  <si>
    <t xml:space="preserve">Tag #CAFFETTINO</t>
  </si>
  <si>
    <t xml:space="preserve">Chiamata API</t>
  </si>
  <si>
    <t xml:space="preserve">Infliggi 2 danni</t>
  </si>
  <si>
    <t xml:space="preserve">Albo #8</t>
  </si>
  <si>
    <t xml:space="preserve">albo-008.webp</t>
  </si>
  <si>
    <t xml:space="preserve">Mezza giornata</t>
  </si>
  <si>
    <t xml:space="preserve">Rimanda un servitore in mano al proprietario</t>
  </si>
  <si>
    <t xml:space="preserve">Tag #MEZZA GIORNATA</t>
  </si>
  <si>
    <t xml:space="preserve">L'ultimo sorso</t>
  </si>
  <si>
    <t xml:space="preserve">Distruggi un servitore con 3 o meno attacco</t>
  </si>
  <si>
    <t xml:space="preserve">Albo #15</t>
  </si>
  <si>
    <t xml:space="preserve">albo-015.webp</t>
  </si>
  <si>
    <t xml:space="preserve">Studente plagiato</t>
  </si>
  <si>
    <t xml:space="preserve">Zanzarina</t>
  </si>
  <si>
    <t xml:space="preserve">Albo #14</t>
  </si>
  <si>
    <t xml:space="preserve">albo-014.webp</t>
  </si>
  <si>
    <t xml:space="preserve">Spirito zanzara</t>
  </si>
  <si>
    <t xml:space="preserve">Albo #75</t>
  </si>
  <si>
    <t xml:space="preserve">albo-075.webp</t>
  </si>
  <si>
    <t xml:space="preserve">Operatore</t>
  </si>
  <si>
    <t xml:space="preserve">Riepilogo set (si aggiorna dal foglio Carte)</t>
  </si>
  <si>
    <t xml:space="preserve">Carte giocabili</t>
  </si>
  <si>
    <t xml:space="preserve">Costo medio</t>
  </si>
  <si>
    <t xml:space="preserve">Colleghi</t>
  </si>
  <si>
    <t xml:space="preserve">Pratiche</t>
  </si>
  <si>
    <t xml:space="preserve">Strumenti</t>
  </si>
  <si>
    <t xml:space="preserve">Totale</t>
  </si>
  <si>
    <t xml:space="preserve">I Token (carte generate da altri effetti) sono esclusi dai conteggi. Obiettivo v1: abbastanza carte per mazzi da 30 per ogni eroe.</t>
  </si>
  <si>
    <t xml:space="preserve">Sorgenti immagini da dottorscudo.guidomoroni.com/storage</t>
  </si>
  <si>
    <t xml:space="preserve">File</t>
  </si>
  <si>
    <t xml:space="preserve">Personaggio / note</t>
  </si>
  <si>
    <t xml:space="preserve">Avatar personaggio</t>
  </si>
  <si>
    <t xml:space="preserve">Dottor Scudo (corrisponde all'eroe in homepage)</t>
  </si>
  <si>
    <t xml:space="preserve">Nikson (cappellino SASSI, avatar del tuo profilo)</t>
  </si>
  <si>
    <t xml:space="preserve">avatar-3.jpg</t>
  </si>
  <si>
    <t xml:space="preserve">Jackson? (espressione furiosa) — da confermare</t>
  </si>
  <si>
    <t xml:space="preserve">avatar-4.jpg</t>
  </si>
  <si>
    <t xml:space="preserve">avatar-5.jpg</t>
  </si>
  <si>
    <t xml:space="preserve">Milet? (elmo da samurai, via del Giappi) — da confermare</t>
  </si>
  <si>
    <t xml:space="preserve">avatar-6.jpg</t>
  </si>
  <si>
    <t xml:space="preserve">avatar-7.jpg</t>
  </si>
  <si>
    <t xml:space="preserve">Dr Grappolo? — da confermare</t>
  </si>
  <si>
    <t xml:space="preserve">avatar-8.jpg</t>
  </si>
  <si>
    <t xml:space="preserve">Margherita? (petali di margherita) — da confermare</t>
  </si>
  <si>
    <t xml:space="preserve">fumetti/webp/albo-001 … albo-120.webp</t>
  </si>
  <si>
    <t xml:space="preserve">Tavole fumetto (webp)</t>
  </si>
  <si>
    <t xml:space="preserve">120 file, ~19,4 MB totali. Da ritagliare per l'arte delle carte</t>
  </si>
  <si>
    <t xml:space="preserve">fumetti/albo-121.png, albo-122.png</t>
  </si>
  <si>
    <t xml:space="preserve">Tavole fumetto (png)</t>
  </si>
  <si>
    <t xml:space="preserve">Versione webp non disponibile; png ~3 MB l'una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</si>
</sst>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9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93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9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5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5" t="n">
        <v>1</v>
      </c>
    </row>
    <row r="7" customFormat="false" ht="15" hidden="false" customHeight="false" outlineLevel="0" collapsed="false">
      <c r="A7" s="4" t="s">
        <v>13</v>
      </c>
      <c r="B7" s="4" t="s">
        <v>14</v>
      </c>
      <c r="C7" s="4" t="s">
        <v>15</v>
      </c>
      <c r="D7" s="5" t="n">
        <v>30</v>
      </c>
    </row>
    <row r="8" customFormat="false" ht="15" hidden="false" customHeight="false" outlineLevel="0" collapsed="false">
      <c r="A8" s="4" t="s">
        <v>16</v>
      </c>
      <c r="B8" s="4" t="s">
        <v>17</v>
      </c>
      <c r="C8" s="4" t="s">
        <v>18</v>
      </c>
      <c r="D8" s="5" t="n">
        <v>30</v>
      </c>
    </row>
    <row r="9" customFormat="false" ht="15" hidden="false" customHeight="false" outlineLevel="0" collapsed="false">
      <c r="A9" s="4" t="s">
        <v>19</v>
      </c>
      <c r="B9" s="4" t="s">
        <v>20</v>
      </c>
      <c r="C9" s="4" t="s">
        <v>21</v>
      </c>
      <c r="D9" s="5" t="s">
        <v>22</v>
      </c>
    </row>
    <row r="10" customFormat="false" ht="15" hidden="false" customHeight="false" outlineLevel="0" collapsed="false">
      <c r="A10" s="4" t="s">
        <v>23</v>
      </c>
      <c r="B10" s="4" t="s">
        <v>24</v>
      </c>
      <c r="C10" s="4" t="s">
        <v>25</v>
      </c>
      <c r="D10" s="5" t="n">
        <v>7</v>
      </c>
    </row>
    <row r="11" customFormat="false" ht="15" hidden="false" customHeight="false" outlineLevel="0" collapsed="false">
      <c r="A11" s="4" t="s">
        <v>26</v>
      </c>
      <c r="B11" s="4" t="s">
        <v>27</v>
      </c>
      <c r="C11" s="4" t="s">
        <v>28</v>
      </c>
      <c r="D11" s="5" t="s">
        <v>29</v>
      </c>
    </row>
    <row r="12" customFormat="false" ht="15" hidden="false" customHeight="false" outlineLevel="0" collapsed="false">
      <c r="A12" s="4" t="s">
        <v>30</v>
      </c>
      <c r="B12" s="4" t="s">
        <v>31</v>
      </c>
      <c r="C12" s="4" t="s">
        <v>32</v>
      </c>
      <c r="D12" s="5" t="n">
        <v>75</v>
      </c>
    </row>
    <row r="13" customFormat="false" ht="23.85" hidden="false" customHeight="false" outlineLevel="0" collapsed="false">
      <c r="A13" s="4" t="s">
        <v>33</v>
      </c>
      <c r="B13" s="4" t="s">
        <v>34</v>
      </c>
      <c r="C13" s="4" t="s">
        <v>35</v>
      </c>
      <c r="D13" s="5" t="s">
        <v>36</v>
      </c>
    </row>
    <row r="14" customFormat="false" ht="15" hidden="false" customHeight="false" outlineLevel="0" collapsed="false">
      <c r="A14" s="4" t="s">
        <v>37</v>
      </c>
      <c r="B14" s="4" t="s">
        <v>38</v>
      </c>
      <c r="C14" s="4" t="s">
        <v>39</v>
      </c>
      <c r="D14" s="5" t="s">
        <v>36</v>
      </c>
    </row>
  </sheetData>
  <autoFilter ref="A4:D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56"/>
  </cols>
  <sheetData>
    <row r="1" customFormat="false" ht="26.85" hidden="false" customHeight="false" outlineLevel="0" collapsed="false">
      <c r="A1" s="3" t="s">
        <v>40</v>
      </c>
      <c r="B1" s="3" t="s">
        <v>41</v>
      </c>
      <c r="C1" s="3" t="s">
        <v>42</v>
      </c>
    </row>
    <row r="2" customFormat="false" ht="15" hidden="false" customHeight="false" outlineLevel="0" collapsed="false">
      <c r="A2" s="4" t="s">
        <v>43</v>
      </c>
      <c r="B2" s="4" t="s">
        <v>44</v>
      </c>
      <c r="C2" s="4" t="s">
        <v>45</v>
      </c>
    </row>
    <row r="3" customFormat="false" ht="15" hidden="false" customHeight="false" outlineLevel="0" collapsed="false">
      <c r="A3" s="4" t="s">
        <v>46</v>
      </c>
      <c r="B3" s="4" t="s">
        <v>47</v>
      </c>
      <c r="C3" s="4" t="s">
        <v>48</v>
      </c>
    </row>
    <row r="4" customFormat="false" ht="15" hidden="false" customHeight="false" outlineLevel="0" collapsed="false">
      <c r="A4" s="4" t="s">
        <v>49</v>
      </c>
      <c r="B4" s="4" t="s">
        <v>50</v>
      </c>
      <c r="C4" s="4" t="s">
        <v>51</v>
      </c>
    </row>
    <row r="5" customFormat="false" ht="15" hidden="false" customHeight="false" outlineLevel="0" collapsed="false">
      <c r="A5" s="4" t="s">
        <v>52</v>
      </c>
      <c r="B5" s="4" t="s">
        <v>53</v>
      </c>
      <c r="C5" s="4" t="s">
        <v>54</v>
      </c>
    </row>
    <row r="6" customFormat="false" ht="15" hidden="false" customHeight="false" outlineLevel="0" collapsed="false">
      <c r="A6" s="4" t="s">
        <v>55</v>
      </c>
      <c r="B6" s="4" t="s">
        <v>56</v>
      </c>
      <c r="C6" s="4" t="s">
        <v>57</v>
      </c>
    </row>
    <row r="7" customFormat="false" ht="15" hidden="false" customHeight="false" outlineLevel="0" collapsed="false">
      <c r="A7" s="4" t="s">
        <v>58</v>
      </c>
      <c r="B7" s="4" t="s">
        <v>59</v>
      </c>
      <c r="C7" s="4" t="s">
        <v>60</v>
      </c>
    </row>
    <row r="8" customFormat="false" ht="15" hidden="false" customHeight="false" outlineLevel="0" collapsed="false">
      <c r="A8" s="4" t="s">
        <v>61</v>
      </c>
      <c r="B8" s="4" t="s">
        <v>62</v>
      </c>
      <c r="C8" s="4" t="s">
        <v>63</v>
      </c>
    </row>
    <row r="9" customFormat="false" ht="15" hidden="false" customHeight="false" outlineLevel="0" collapsed="false">
      <c r="A9" s="4" t="s">
        <v>64</v>
      </c>
      <c r="B9" s="4" t="s">
        <v>65</v>
      </c>
      <c r="C9" s="4" t="s">
        <v>66</v>
      </c>
    </row>
    <row r="10" customFormat="false" ht="15" hidden="false" customHeight="false" outlineLevel="0" collapsed="false">
      <c r="A10" s="4" t="s">
        <v>67</v>
      </c>
      <c r="B10" s="4" t="s">
        <v>68</v>
      </c>
      <c r="C10" s="4" t="s">
        <v>69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52"/>
    <col collapsed="false" customWidth="true" hidden="false" outlineLevel="0" max="6" min="6" style="0" width="26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3" t="s">
        <v>70</v>
      </c>
      <c r="B1" s="3" t="s">
        <v>71</v>
      </c>
      <c r="C1" s="3" t="s">
        <v>72</v>
      </c>
      <c r="D1" s="3" t="s">
        <v>73</v>
      </c>
      <c r="E1" s="3" t="s">
        <v>42</v>
      </c>
      <c r="F1" s="3" t="s">
        <v>74</v>
      </c>
      <c r="G1" s="3" t="s">
        <v>75</v>
      </c>
    </row>
    <row r="2" customFormat="false" ht="15" hidden="false" customHeight="false" outlineLevel="0" collapsed="false">
      <c r="A2" s="4" t="s">
        <v>76</v>
      </c>
      <c r="B2" s="4" t="s">
        <v>77</v>
      </c>
      <c r="C2" s="4" t="s">
        <v>78</v>
      </c>
      <c r="D2" s="6" t="n">
        <v>2</v>
      </c>
      <c r="E2" s="4" t="s">
        <v>79</v>
      </c>
      <c r="F2" s="4" t="s">
        <v>80</v>
      </c>
      <c r="G2" s="4" t="s">
        <v>81</v>
      </c>
    </row>
    <row r="3" customFormat="false" ht="15" hidden="false" customHeight="false" outlineLevel="0" collapsed="false">
      <c r="A3" s="4" t="s">
        <v>82</v>
      </c>
      <c r="B3" s="4" t="s">
        <v>77</v>
      </c>
      <c r="C3" s="4" t="s">
        <v>83</v>
      </c>
      <c r="D3" s="6" t="n">
        <v>2</v>
      </c>
      <c r="E3" s="4" t="s">
        <v>84</v>
      </c>
      <c r="F3" s="4" t="s">
        <v>85</v>
      </c>
      <c r="G3" s="4" t="s">
        <v>86</v>
      </c>
    </row>
    <row r="4" customFormat="false" ht="15" hidden="false" customHeight="false" outlineLevel="0" collapsed="false">
      <c r="A4" s="4" t="s">
        <v>87</v>
      </c>
      <c r="B4" s="4" t="s">
        <v>77</v>
      </c>
      <c r="C4" s="4" t="s">
        <v>88</v>
      </c>
      <c r="D4" s="6" t="n">
        <v>2</v>
      </c>
      <c r="E4" s="4" t="s">
        <v>89</v>
      </c>
      <c r="F4" s="7" t="s">
        <v>90</v>
      </c>
      <c r="G4" s="4" t="s">
        <v>91</v>
      </c>
    </row>
    <row r="5" customFormat="false" ht="15" hidden="false" customHeight="false" outlineLevel="0" collapsed="false">
      <c r="A5" s="4" t="s">
        <v>92</v>
      </c>
      <c r="B5" s="4" t="s">
        <v>77</v>
      </c>
      <c r="C5" s="4" t="s">
        <v>93</v>
      </c>
      <c r="D5" s="6" t="n">
        <v>2</v>
      </c>
      <c r="E5" s="4" t="s">
        <v>94</v>
      </c>
      <c r="F5" s="7" t="s">
        <v>95</v>
      </c>
      <c r="G5" s="4" t="s">
        <v>96</v>
      </c>
    </row>
    <row r="6" customFormat="false" ht="15" hidden="false" customHeight="false" outlineLevel="0" collapsed="false">
      <c r="A6" s="4" t="s">
        <v>97</v>
      </c>
      <c r="B6" s="4" t="s">
        <v>77</v>
      </c>
      <c r="C6" s="4" t="s">
        <v>98</v>
      </c>
      <c r="D6" s="6" t="n">
        <v>2</v>
      </c>
      <c r="E6" s="4" t="s">
        <v>99</v>
      </c>
      <c r="F6" s="7" t="s">
        <v>100</v>
      </c>
      <c r="G6" s="4" t="s">
        <v>101</v>
      </c>
    </row>
    <row r="7" customFormat="false" ht="35.05" hidden="false" customHeight="false" outlineLevel="0" collapsed="false">
      <c r="A7" s="4" t="s">
        <v>102</v>
      </c>
      <c r="B7" s="4" t="s">
        <v>77</v>
      </c>
      <c r="C7" s="4" t="s">
        <v>103</v>
      </c>
      <c r="D7" s="6" t="n">
        <v>2</v>
      </c>
      <c r="E7" s="4" t="s">
        <v>104</v>
      </c>
      <c r="F7" s="7" t="s">
        <v>100</v>
      </c>
      <c r="G7" s="4" t="s">
        <v>105</v>
      </c>
    </row>
    <row r="8" customFormat="false" ht="15" hidden="false" customHeight="false" outlineLevel="0" collapsed="false">
      <c r="A8" s="4" t="s">
        <v>106</v>
      </c>
      <c r="B8" s="4" t="s">
        <v>107</v>
      </c>
      <c r="C8" s="4" t="s">
        <v>108</v>
      </c>
      <c r="D8" s="6" t="n">
        <v>2</v>
      </c>
      <c r="E8" s="4" t="s">
        <v>109</v>
      </c>
      <c r="F8" s="7" t="s">
        <v>110</v>
      </c>
      <c r="G8" s="4" t="s">
        <v>111</v>
      </c>
    </row>
    <row r="9" customFormat="false" ht="15" hidden="false" customHeight="false" outlineLevel="0" collapsed="false">
      <c r="A9" s="4" t="s">
        <v>112</v>
      </c>
      <c r="B9" s="4" t="s">
        <v>107</v>
      </c>
      <c r="C9" s="4" t="s">
        <v>113</v>
      </c>
      <c r="D9" s="6" t="n">
        <v>2</v>
      </c>
      <c r="E9" s="4" t="s">
        <v>114</v>
      </c>
      <c r="F9" s="7" t="s">
        <v>100</v>
      </c>
      <c r="G9" s="4" t="s">
        <v>115</v>
      </c>
    </row>
    <row r="10" customFormat="false" ht="15" hidden="false" customHeight="false" outlineLevel="0" collapsed="false">
      <c r="A10" s="4" t="s">
        <v>116</v>
      </c>
      <c r="B10" s="4" t="s">
        <v>107</v>
      </c>
      <c r="C10" s="4" t="s">
        <v>117</v>
      </c>
      <c r="D10" s="6" t="n">
        <v>2</v>
      </c>
      <c r="E10" s="4" t="s">
        <v>118</v>
      </c>
      <c r="F10" s="7" t="s">
        <v>100</v>
      </c>
      <c r="G10" s="4" t="s">
        <v>119</v>
      </c>
    </row>
    <row r="12" customFormat="false" ht="15" hidden="false" customHeight="false" outlineLevel="0" collapsed="false">
      <c r="A12" s="2" t="s">
        <v>120</v>
      </c>
    </row>
  </sheetData>
  <autoFilter ref="A1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48"/>
    <col collapsed="false" customWidth="true" hidden="false" outlineLevel="0" max="11" min="11" style="0" width="26"/>
    <col collapsed="false" customWidth="true" hidden="false" outlineLevel="0" max="12" min="12" style="0" width="18"/>
  </cols>
  <sheetData>
    <row r="1" customFormat="false" ht="39.55" hidden="false" customHeight="false" outlineLevel="0" collapsed="false">
      <c r="A1" s="3" t="s">
        <v>121</v>
      </c>
      <c r="B1" s="3" t="s">
        <v>71</v>
      </c>
      <c r="C1" s="3" t="s">
        <v>122</v>
      </c>
      <c r="D1" s="3" t="s">
        <v>123</v>
      </c>
      <c r="E1" s="3" t="s">
        <v>124</v>
      </c>
      <c r="F1" s="3" t="s">
        <v>73</v>
      </c>
      <c r="G1" s="3" t="s">
        <v>125</v>
      </c>
      <c r="H1" s="3" t="s">
        <v>126</v>
      </c>
      <c r="I1" s="3" t="s">
        <v>40</v>
      </c>
      <c r="J1" s="3" t="s">
        <v>42</v>
      </c>
      <c r="K1" s="3" t="s">
        <v>75</v>
      </c>
      <c r="L1" s="3" t="s">
        <v>127</v>
      </c>
    </row>
    <row r="2" customFormat="false" ht="15" hidden="false" customHeight="false" outlineLevel="0" collapsed="false">
      <c r="A2" s="4" t="s">
        <v>128</v>
      </c>
      <c r="B2" s="4" t="s">
        <v>77</v>
      </c>
      <c r="C2" s="4" t="s">
        <v>76</v>
      </c>
      <c r="D2" s="4" t="s">
        <v>129</v>
      </c>
      <c r="E2" s="4" t="s">
        <v>130</v>
      </c>
      <c r="F2" s="6" t="n">
        <v>1</v>
      </c>
      <c r="G2" s="6"/>
      <c r="H2" s="6"/>
      <c r="I2" s="4"/>
      <c r="J2" s="4" t="s">
        <v>131</v>
      </c>
      <c r="K2" s="4" t="s">
        <v>132</v>
      </c>
      <c r="L2" s="4" t="s">
        <v>133</v>
      </c>
    </row>
    <row r="3" customFormat="false" ht="15" hidden="false" customHeight="false" outlineLevel="0" collapsed="false">
      <c r="A3" s="4" t="s">
        <v>134</v>
      </c>
      <c r="B3" s="4" t="s">
        <v>77</v>
      </c>
      <c r="C3" s="4" t="s">
        <v>76</v>
      </c>
      <c r="D3" s="4" t="s">
        <v>135</v>
      </c>
      <c r="E3" s="4" t="s">
        <v>136</v>
      </c>
      <c r="F3" s="6" t="n">
        <v>3</v>
      </c>
      <c r="G3" s="6" t="n">
        <v>3</v>
      </c>
      <c r="H3" s="6" t="n">
        <v>2</v>
      </c>
      <c r="I3" s="4"/>
      <c r="J3" s="4" t="s">
        <v>137</v>
      </c>
      <c r="K3" s="4" t="s">
        <v>138</v>
      </c>
      <c r="L3" s="4" t="s">
        <v>139</v>
      </c>
    </row>
    <row r="4" customFormat="false" ht="23.85" hidden="false" customHeight="false" outlineLevel="0" collapsed="false">
      <c r="A4" s="4" t="s">
        <v>140</v>
      </c>
      <c r="B4" s="4" t="s">
        <v>77</v>
      </c>
      <c r="C4" s="4" t="s">
        <v>76</v>
      </c>
      <c r="D4" s="4" t="s">
        <v>141</v>
      </c>
      <c r="E4" s="4" t="s">
        <v>142</v>
      </c>
      <c r="F4" s="6" t="n">
        <v>8</v>
      </c>
      <c r="G4" s="6" t="n">
        <v>8</v>
      </c>
      <c r="H4" s="6" t="n">
        <v>8</v>
      </c>
      <c r="I4" s="4" t="s">
        <v>143</v>
      </c>
      <c r="J4" s="4" t="s">
        <v>144</v>
      </c>
      <c r="K4" s="4" t="s">
        <v>145</v>
      </c>
      <c r="L4" s="4" t="s">
        <v>146</v>
      </c>
    </row>
    <row r="5" customFormat="false" ht="15" hidden="false" customHeight="false" outlineLevel="0" collapsed="false">
      <c r="A5" s="4" t="s">
        <v>147</v>
      </c>
      <c r="B5" s="4" t="s">
        <v>77</v>
      </c>
      <c r="C5" s="4" t="s">
        <v>82</v>
      </c>
      <c r="D5" s="4" t="s">
        <v>148</v>
      </c>
      <c r="E5" s="4" t="s">
        <v>130</v>
      </c>
      <c r="F5" s="6" t="n">
        <v>0</v>
      </c>
      <c r="G5" s="6"/>
      <c r="H5" s="6"/>
      <c r="I5" s="4"/>
      <c r="J5" s="4" t="s">
        <v>149</v>
      </c>
      <c r="K5" s="4" t="s">
        <v>150</v>
      </c>
      <c r="L5" s="4" t="s">
        <v>151</v>
      </c>
    </row>
    <row r="6" customFormat="false" ht="15" hidden="false" customHeight="false" outlineLevel="0" collapsed="false">
      <c r="A6" s="4" t="s">
        <v>152</v>
      </c>
      <c r="B6" s="4" t="s">
        <v>77</v>
      </c>
      <c r="C6" s="4" t="s">
        <v>82</v>
      </c>
      <c r="D6" s="4" t="s">
        <v>153</v>
      </c>
      <c r="E6" s="4" t="s">
        <v>142</v>
      </c>
      <c r="F6" s="6" t="n">
        <v>5</v>
      </c>
      <c r="G6" s="6" t="n">
        <v>4</v>
      </c>
      <c r="H6" s="6" t="n">
        <v>6</v>
      </c>
      <c r="I6" s="4" t="s">
        <v>143</v>
      </c>
      <c r="J6" s="4" t="s">
        <v>154</v>
      </c>
      <c r="K6" s="4" t="s">
        <v>155</v>
      </c>
      <c r="L6" s="4" t="s">
        <v>156</v>
      </c>
    </row>
    <row r="7" customFormat="false" ht="15" hidden="false" customHeight="false" outlineLevel="0" collapsed="false">
      <c r="A7" s="4" t="s">
        <v>157</v>
      </c>
      <c r="B7" s="4" t="s">
        <v>77</v>
      </c>
      <c r="C7" s="4" t="s">
        <v>82</v>
      </c>
      <c r="D7" s="4" t="s">
        <v>141</v>
      </c>
      <c r="E7" s="4" t="s">
        <v>142</v>
      </c>
      <c r="F7" s="6" t="n">
        <v>6</v>
      </c>
      <c r="G7" s="6" t="n">
        <v>6</v>
      </c>
      <c r="H7" s="6" t="n">
        <v>5</v>
      </c>
      <c r="I7" s="4" t="s">
        <v>43</v>
      </c>
      <c r="J7" s="4" t="s">
        <v>158</v>
      </c>
      <c r="K7" s="4" t="s">
        <v>159</v>
      </c>
      <c r="L7" s="4" t="s">
        <v>160</v>
      </c>
    </row>
    <row r="8" customFormat="false" ht="15" hidden="false" customHeight="false" outlineLevel="0" collapsed="false">
      <c r="A8" s="4" t="s">
        <v>88</v>
      </c>
      <c r="B8" s="4" t="s">
        <v>77</v>
      </c>
      <c r="C8" s="4" t="s">
        <v>87</v>
      </c>
      <c r="D8" s="4" t="s">
        <v>129</v>
      </c>
      <c r="E8" s="4" t="s">
        <v>130</v>
      </c>
      <c r="F8" s="6" t="n">
        <v>3</v>
      </c>
      <c r="G8" s="6"/>
      <c r="H8" s="6"/>
      <c r="I8" s="4"/>
      <c r="J8" s="4" t="s">
        <v>161</v>
      </c>
      <c r="K8" s="4" t="s">
        <v>91</v>
      </c>
      <c r="L8" s="4" t="s">
        <v>162</v>
      </c>
    </row>
    <row r="9" customFormat="false" ht="23.85" hidden="false" customHeight="false" outlineLevel="0" collapsed="false">
      <c r="A9" s="4" t="s">
        <v>163</v>
      </c>
      <c r="B9" s="4" t="s">
        <v>77</v>
      </c>
      <c r="C9" s="4" t="s">
        <v>87</v>
      </c>
      <c r="D9" s="4" t="s">
        <v>135</v>
      </c>
      <c r="E9" s="4" t="s">
        <v>142</v>
      </c>
      <c r="F9" s="6" t="n">
        <v>4</v>
      </c>
      <c r="G9" s="6" t="n">
        <v>5</v>
      </c>
      <c r="H9" s="6" t="n">
        <v>3</v>
      </c>
      <c r="I9" s="4"/>
      <c r="J9" s="4" t="s">
        <v>164</v>
      </c>
      <c r="K9" s="4" t="s">
        <v>91</v>
      </c>
      <c r="L9" s="4" t="s">
        <v>162</v>
      </c>
    </row>
    <row r="10" customFormat="false" ht="15" hidden="false" customHeight="false" outlineLevel="0" collapsed="false">
      <c r="A10" s="4" t="s">
        <v>165</v>
      </c>
      <c r="B10" s="4" t="s">
        <v>77</v>
      </c>
      <c r="C10" s="4" t="s">
        <v>92</v>
      </c>
      <c r="D10" s="4" t="s">
        <v>135</v>
      </c>
      <c r="E10" s="4" t="s">
        <v>130</v>
      </c>
      <c r="F10" s="6" t="n">
        <v>2</v>
      </c>
      <c r="G10" s="6"/>
      <c r="H10" s="6"/>
      <c r="I10" s="4"/>
      <c r="J10" s="4" t="s">
        <v>166</v>
      </c>
      <c r="K10" s="4" t="s">
        <v>96</v>
      </c>
      <c r="L10" s="4" t="s">
        <v>167</v>
      </c>
    </row>
    <row r="11" customFormat="false" ht="15" hidden="false" customHeight="false" outlineLevel="0" collapsed="false">
      <c r="A11" s="4" t="s">
        <v>168</v>
      </c>
      <c r="B11" s="4" t="s">
        <v>77</v>
      </c>
      <c r="C11" s="4" t="s">
        <v>92</v>
      </c>
      <c r="D11" s="4" t="s">
        <v>129</v>
      </c>
      <c r="E11" s="4" t="s">
        <v>142</v>
      </c>
      <c r="F11" s="6" t="n">
        <v>2</v>
      </c>
      <c r="G11" s="6" t="n">
        <v>3</v>
      </c>
      <c r="H11" s="6" t="n">
        <v>3</v>
      </c>
      <c r="I11" s="4" t="s">
        <v>61</v>
      </c>
      <c r="J11" s="4" t="s">
        <v>169</v>
      </c>
      <c r="K11" s="4" t="s">
        <v>170</v>
      </c>
      <c r="L11" s="4" t="s">
        <v>171</v>
      </c>
    </row>
    <row r="12" customFormat="false" ht="15" hidden="false" customHeight="false" outlineLevel="0" collapsed="false">
      <c r="A12" s="4" t="s">
        <v>172</v>
      </c>
      <c r="B12" s="4" t="s">
        <v>77</v>
      </c>
      <c r="C12" s="4" t="s">
        <v>97</v>
      </c>
      <c r="D12" s="4" t="s">
        <v>135</v>
      </c>
      <c r="E12" s="4" t="s">
        <v>130</v>
      </c>
      <c r="F12" s="6" t="n">
        <v>1</v>
      </c>
      <c r="G12" s="6"/>
      <c r="H12" s="6"/>
      <c r="I12" s="4" t="s">
        <v>64</v>
      </c>
      <c r="J12" s="4" t="s">
        <v>173</v>
      </c>
      <c r="K12" s="4" t="s">
        <v>174</v>
      </c>
      <c r="L12" s="4" t="s">
        <v>175</v>
      </c>
    </row>
    <row r="13" customFormat="false" ht="15" hidden="false" customHeight="false" outlineLevel="0" collapsed="false">
      <c r="A13" s="4" t="s">
        <v>176</v>
      </c>
      <c r="B13" s="4" t="s">
        <v>77</v>
      </c>
      <c r="C13" s="4"/>
      <c r="D13" s="4" t="s">
        <v>153</v>
      </c>
      <c r="E13" s="4" t="s">
        <v>130</v>
      </c>
      <c r="F13" s="6" t="n">
        <v>4</v>
      </c>
      <c r="G13" s="6"/>
      <c r="H13" s="6"/>
      <c r="I13" s="4"/>
      <c r="J13" s="4" t="s">
        <v>177</v>
      </c>
      <c r="K13" s="4" t="s">
        <v>178</v>
      </c>
      <c r="L13" s="4" t="s">
        <v>179</v>
      </c>
    </row>
    <row r="14" customFormat="false" ht="15" hidden="false" customHeight="false" outlineLevel="0" collapsed="false">
      <c r="A14" s="4" t="s">
        <v>180</v>
      </c>
      <c r="B14" s="4" t="s">
        <v>77</v>
      </c>
      <c r="C14" s="4"/>
      <c r="D14" s="4" t="s">
        <v>141</v>
      </c>
      <c r="E14" s="4" t="s">
        <v>142</v>
      </c>
      <c r="F14" s="6" t="n">
        <v>7</v>
      </c>
      <c r="G14" s="6" t="n">
        <v>5</v>
      </c>
      <c r="H14" s="6" t="n">
        <v>7</v>
      </c>
      <c r="I14" s="4" t="s">
        <v>43</v>
      </c>
      <c r="J14" s="4" t="s">
        <v>181</v>
      </c>
      <c r="K14" s="4" t="s">
        <v>182</v>
      </c>
      <c r="L14" s="4" t="s">
        <v>183</v>
      </c>
    </row>
    <row r="15" customFormat="false" ht="15" hidden="false" customHeight="false" outlineLevel="0" collapsed="false">
      <c r="A15" s="4" t="s">
        <v>184</v>
      </c>
      <c r="B15" s="4" t="s">
        <v>77</v>
      </c>
      <c r="C15" s="4"/>
      <c r="D15" s="4" t="s">
        <v>129</v>
      </c>
      <c r="E15" s="4" t="s">
        <v>142</v>
      </c>
      <c r="F15" s="6" t="n">
        <v>3</v>
      </c>
      <c r="G15" s="6" t="n">
        <v>2</v>
      </c>
      <c r="H15" s="6" t="n">
        <v>4</v>
      </c>
      <c r="I15" s="4" t="s">
        <v>61</v>
      </c>
      <c r="J15" s="4" t="s">
        <v>185</v>
      </c>
      <c r="K15" s="4" t="s">
        <v>182</v>
      </c>
      <c r="L15" s="4" t="s">
        <v>186</v>
      </c>
    </row>
    <row r="16" customFormat="false" ht="15" hidden="false" customHeight="false" outlineLevel="0" collapsed="false">
      <c r="A16" s="4" t="s">
        <v>187</v>
      </c>
      <c r="B16" s="4" t="s">
        <v>77</v>
      </c>
      <c r="C16" s="4" t="s">
        <v>102</v>
      </c>
      <c r="D16" s="4" t="s">
        <v>135</v>
      </c>
      <c r="E16" s="4" t="s">
        <v>130</v>
      </c>
      <c r="F16" s="6" t="n">
        <v>1</v>
      </c>
      <c r="G16" s="6"/>
      <c r="H16" s="6"/>
      <c r="I16" s="4"/>
      <c r="J16" s="4" t="s">
        <v>188</v>
      </c>
      <c r="K16" s="4" t="s">
        <v>189</v>
      </c>
      <c r="L16" s="4"/>
    </row>
    <row r="17" customFormat="false" ht="15" hidden="false" customHeight="false" outlineLevel="0" collapsed="false">
      <c r="A17" s="4" t="s">
        <v>190</v>
      </c>
      <c r="B17" s="4" t="s">
        <v>77</v>
      </c>
      <c r="C17" s="4" t="s">
        <v>102</v>
      </c>
      <c r="D17" s="4" t="s">
        <v>153</v>
      </c>
      <c r="E17" s="4" t="s">
        <v>130</v>
      </c>
      <c r="F17" s="6" t="n">
        <v>4</v>
      </c>
      <c r="G17" s="6"/>
      <c r="H17" s="6"/>
      <c r="I17" s="4"/>
      <c r="J17" s="4" t="s">
        <v>191</v>
      </c>
      <c r="K17" s="4" t="s">
        <v>189</v>
      </c>
      <c r="L17" s="4"/>
    </row>
    <row r="18" customFormat="false" ht="23.85" hidden="false" customHeight="false" outlineLevel="0" collapsed="false">
      <c r="A18" s="4" t="s">
        <v>192</v>
      </c>
      <c r="B18" s="4" t="s">
        <v>77</v>
      </c>
      <c r="C18" s="4" t="s">
        <v>102</v>
      </c>
      <c r="D18" s="4" t="s">
        <v>141</v>
      </c>
      <c r="E18" s="4" t="s">
        <v>130</v>
      </c>
      <c r="F18" s="6" t="n">
        <v>6</v>
      </c>
      <c r="G18" s="6"/>
      <c r="H18" s="6"/>
      <c r="I18" s="4"/>
      <c r="J18" s="4" t="s">
        <v>193</v>
      </c>
      <c r="K18" s="4" t="s">
        <v>194</v>
      </c>
      <c r="L18" s="4" t="s">
        <v>195</v>
      </c>
    </row>
    <row r="19" customFormat="false" ht="15" hidden="false" customHeight="false" outlineLevel="0" collapsed="false">
      <c r="A19" s="4" t="s">
        <v>196</v>
      </c>
      <c r="B19" s="4" t="s">
        <v>77</v>
      </c>
      <c r="C19" s="4"/>
      <c r="D19" s="4" t="s">
        <v>129</v>
      </c>
      <c r="E19" s="4" t="s">
        <v>142</v>
      </c>
      <c r="F19" s="6" t="n">
        <v>5</v>
      </c>
      <c r="G19" s="6" t="n">
        <v>4</v>
      </c>
      <c r="H19" s="6" t="n">
        <v>6</v>
      </c>
      <c r="I19" s="4" t="s">
        <v>46</v>
      </c>
      <c r="J19" s="4"/>
      <c r="K19" s="4" t="s">
        <v>197</v>
      </c>
      <c r="L19" s="4" t="s">
        <v>198</v>
      </c>
    </row>
    <row r="20" customFormat="false" ht="15" hidden="false" customHeight="false" outlineLevel="0" collapsed="false">
      <c r="A20" s="4" t="s">
        <v>199</v>
      </c>
      <c r="B20" s="4" t="s">
        <v>77</v>
      </c>
      <c r="C20" s="4"/>
      <c r="D20" s="4" t="s">
        <v>141</v>
      </c>
      <c r="E20" s="4" t="s">
        <v>142</v>
      </c>
      <c r="F20" s="6" t="n">
        <v>8</v>
      </c>
      <c r="G20" s="6" t="n">
        <v>7</v>
      </c>
      <c r="H20" s="6" t="n">
        <v>7</v>
      </c>
      <c r="I20" s="4" t="s">
        <v>43</v>
      </c>
      <c r="J20" s="4" t="s">
        <v>200</v>
      </c>
      <c r="K20" s="4" t="s">
        <v>201</v>
      </c>
      <c r="L20" s="4" t="s">
        <v>202</v>
      </c>
    </row>
    <row r="21" customFormat="false" ht="15" hidden="false" customHeight="false" outlineLevel="0" collapsed="false">
      <c r="A21" s="4" t="s">
        <v>203</v>
      </c>
      <c r="B21" s="4" t="s">
        <v>77</v>
      </c>
      <c r="C21" s="4"/>
      <c r="D21" s="4" t="s">
        <v>135</v>
      </c>
      <c r="E21" s="4" t="s">
        <v>130</v>
      </c>
      <c r="F21" s="6" t="n">
        <v>1</v>
      </c>
      <c r="G21" s="6"/>
      <c r="H21" s="6"/>
      <c r="I21" s="4"/>
      <c r="J21" s="4" t="s">
        <v>204</v>
      </c>
      <c r="K21" s="4" t="s">
        <v>205</v>
      </c>
      <c r="L21" s="4" t="s">
        <v>186</v>
      </c>
    </row>
    <row r="22" customFormat="false" ht="15" hidden="false" customHeight="false" outlineLevel="0" collapsed="false">
      <c r="A22" s="4" t="s">
        <v>206</v>
      </c>
      <c r="B22" s="4" t="s">
        <v>77</v>
      </c>
      <c r="C22" s="4"/>
      <c r="D22" s="4" t="s">
        <v>129</v>
      </c>
      <c r="E22" s="4" t="s">
        <v>136</v>
      </c>
      <c r="F22" s="6" t="n">
        <v>4</v>
      </c>
      <c r="G22" s="6" t="n">
        <v>3</v>
      </c>
      <c r="H22" s="6" t="n">
        <v>3</v>
      </c>
      <c r="I22" s="4"/>
      <c r="J22" s="4" t="s">
        <v>207</v>
      </c>
      <c r="K22" s="4" t="s">
        <v>208</v>
      </c>
      <c r="L22" s="4" t="s">
        <v>209</v>
      </c>
    </row>
    <row r="23" customFormat="false" ht="15" hidden="false" customHeight="false" outlineLevel="0" collapsed="false">
      <c r="A23" s="4" t="s">
        <v>210</v>
      </c>
      <c r="B23" s="4" t="s">
        <v>77</v>
      </c>
      <c r="C23" s="4"/>
      <c r="D23" s="4" t="s">
        <v>135</v>
      </c>
      <c r="E23" s="4" t="s">
        <v>130</v>
      </c>
      <c r="F23" s="6" t="n">
        <v>1</v>
      </c>
      <c r="G23" s="6"/>
      <c r="H23" s="6"/>
      <c r="I23" s="4" t="s">
        <v>52</v>
      </c>
      <c r="J23" s="4" t="s">
        <v>211</v>
      </c>
      <c r="K23" s="4" t="s">
        <v>212</v>
      </c>
      <c r="L23" s="4"/>
    </row>
    <row r="24" customFormat="false" ht="23.85" hidden="false" customHeight="false" outlineLevel="0" collapsed="false">
      <c r="A24" s="4" t="s">
        <v>213</v>
      </c>
      <c r="B24" s="4" t="s">
        <v>77</v>
      </c>
      <c r="C24" s="4"/>
      <c r="D24" s="4" t="s">
        <v>129</v>
      </c>
      <c r="E24" s="4" t="s">
        <v>130</v>
      </c>
      <c r="F24" s="6" t="n">
        <v>2</v>
      </c>
      <c r="G24" s="6"/>
      <c r="H24" s="6"/>
      <c r="I24" s="4"/>
      <c r="J24" s="4" t="s">
        <v>214</v>
      </c>
      <c r="K24" s="4" t="s">
        <v>215</v>
      </c>
      <c r="L24" s="4"/>
    </row>
    <row r="25" customFormat="false" ht="15" hidden="false" customHeight="false" outlineLevel="0" collapsed="false">
      <c r="A25" s="4" t="s">
        <v>216</v>
      </c>
      <c r="B25" s="4" t="s">
        <v>77</v>
      </c>
      <c r="C25" s="4"/>
      <c r="D25" s="4" t="s">
        <v>135</v>
      </c>
      <c r="E25" s="4" t="s">
        <v>142</v>
      </c>
      <c r="F25" s="6" t="n">
        <v>2</v>
      </c>
      <c r="G25" s="6" t="n">
        <v>2</v>
      </c>
      <c r="H25" s="6" t="n">
        <v>2</v>
      </c>
      <c r="I25" s="4" t="s">
        <v>43</v>
      </c>
      <c r="J25" s="4" t="s">
        <v>217</v>
      </c>
      <c r="K25" s="4" t="s">
        <v>218</v>
      </c>
      <c r="L25" s="4" t="s">
        <v>146</v>
      </c>
    </row>
    <row r="26" customFormat="false" ht="23.85" hidden="false" customHeight="false" outlineLevel="0" collapsed="false">
      <c r="A26" s="4" t="s">
        <v>219</v>
      </c>
      <c r="B26" s="4" t="s">
        <v>77</v>
      </c>
      <c r="C26" s="4"/>
      <c r="D26" s="4" t="s">
        <v>153</v>
      </c>
      <c r="E26" s="4" t="s">
        <v>130</v>
      </c>
      <c r="F26" s="6" t="n">
        <v>1</v>
      </c>
      <c r="G26" s="6"/>
      <c r="H26" s="6"/>
      <c r="I26" s="4" t="s">
        <v>67</v>
      </c>
      <c r="J26" s="4" t="s">
        <v>220</v>
      </c>
      <c r="K26" s="4" t="s">
        <v>221</v>
      </c>
      <c r="L26" s="4" t="s">
        <v>222</v>
      </c>
    </row>
    <row r="27" customFormat="false" ht="23.85" hidden="false" customHeight="false" outlineLevel="0" collapsed="false">
      <c r="A27" s="4" t="s">
        <v>223</v>
      </c>
      <c r="B27" s="4" t="s">
        <v>107</v>
      </c>
      <c r="C27" s="4"/>
      <c r="D27" s="4" t="s">
        <v>141</v>
      </c>
      <c r="E27" s="4" t="s">
        <v>142</v>
      </c>
      <c r="F27" s="6" t="n">
        <v>4</v>
      </c>
      <c r="G27" s="6" t="n">
        <v>3</v>
      </c>
      <c r="H27" s="6" t="n">
        <v>3</v>
      </c>
      <c r="I27" s="4" t="s">
        <v>224</v>
      </c>
      <c r="J27" s="4"/>
      <c r="K27" s="4" t="s">
        <v>225</v>
      </c>
      <c r="L27" s="4" t="s">
        <v>226</v>
      </c>
    </row>
    <row r="28" customFormat="false" ht="15" hidden="false" customHeight="false" outlineLevel="0" collapsed="false">
      <c r="A28" s="4" t="s">
        <v>227</v>
      </c>
      <c r="B28" s="4" t="s">
        <v>107</v>
      </c>
      <c r="C28" s="4"/>
      <c r="D28" s="4" t="s">
        <v>141</v>
      </c>
      <c r="E28" s="4" t="s">
        <v>142</v>
      </c>
      <c r="F28" s="6" t="n">
        <v>4</v>
      </c>
      <c r="G28" s="6" t="n">
        <v>3</v>
      </c>
      <c r="H28" s="6" t="n">
        <v>4</v>
      </c>
      <c r="I28" s="4" t="s">
        <v>43</v>
      </c>
      <c r="J28" s="4" t="s">
        <v>228</v>
      </c>
      <c r="K28" s="4" t="s">
        <v>229</v>
      </c>
      <c r="L28" s="4" t="s">
        <v>230</v>
      </c>
    </row>
    <row r="29" customFormat="false" ht="15" hidden="false" customHeight="false" outlineLevel="0" collapsed="false">
      <c r="A29" s="4" t="s">
        <v>112</v>
      </c>
      <c r="B29" s="4" t="s">
        <v>107</v>
      </c>
      <c r="C29" s="4"/>
      <c r="D29" s="4" t="s">
        <v>141</v>
      </c>
      <c r="E29" s="4" t="s">
        <v>142</v>
      </c>
      <c r="F29" s="6" t="n">
        <v>7</v>
      </c>
      <c r="G29" s="6" t="n">
        <v>6</v>
      </c>
      <c r="H29" s="6" t="n">
        <v>6</v>
      </c>
      <c r="I29" s="4"/>
      <c r="J29" s="4" t="s">
        <v>231</v>
      </c>
      <c r="K29" s="4" t="s">
        <v>232</v>
      </c>
      <c r="L29" s="4" t="s">
        <v>233</v>
      </c>
    </row>
    <row r="30" customFormat="false" ht="15" hidden="false" customHeight="false" outlineLevel="0" collapsed="false">
      <c r="A30" s="4" t="s">
        <v>106</v>
      </c>
      <c r="B30" s="4" t="s">
        <v>107</v>
      </c>
      <c r="C30" s="4"/>
      <c r="D30" s="4" t="s">
        <v>141</v>
      </c>
      <c r="E30" s="4" t="s">
        <v>142</v>
      </c>
      <c r="F30" s="6" t="n">
        <v>6</v>
      </c>
      <c r="G30" s="6" t="n">
        <v>5</v>
      </c>
      <c r="H30" s="6" t="n">
        <v>5</v>
      </c>
      <c r="I30" s="4" t="s">
        <v>43</v>
      </c>
      <c r="J30" s="4" t="s">
        <v>234</v>
      </c>
      <c r="K30" s="4" t="s">
        <v>235</v>
      </c>
      <c r="L30" s="4" t="s">
        <v>195</v>
      </c>
    </row>
    <row r="31" customFormat="false" ht="15" hidden="false" customHeight="false" outlineLevel="0" collapsed="false">
      <c r="A31" s="4" t="s">
        <v>236</v>
      </c>
      <c r="B31" s="4" t="s">
        <v>107</v>
      </c>
      <c r="C31" s="4" t="s">
        <v>106</v>
      </c>
      <c r="D31" s="4" t="s">
        <v>141</v>
      </c>
      <c r="E31" s="4" t="s">
        <v>142</v>
      </c>
      <c r="F31" s="6" t="n">
        <v>9</v>
      </c>
      <c r="G31" s="6" t="n">
        <v>8</v>
      </c>
      <c r="H31" s="6" t="n">
        <v>8</v>
      </c>
      <c r="I31" s="4" t="s">
        <v>43</v>
      </c>
      <c r="J31" s="4" t="s">
        <v>237</v>
      </c>
      <c r="K31" s="4" t="s">
        <v>238</v>
      </c>
      <c r="L31" s="4" t="s">
        <v>239</v>
      </c>
    </row>
    <row r="32" customFormat="false" ht="15" hidden="false" customHeight="false" outlineLevel="0" collapsed="false">
      <c r="A32" s="4" t="s">
        <v>240</v>
      </c>
      <c r="B32" s="4" t="s">
        <v>107</v>
      </c>
      <c r="C32" s="4"/>
      <c r="D32" s="4" t="s">
        <v>141</v>
      </c>
      <c r="E32" s="4" t="s">
        <v>142</v>
      </c>
      <c r="F32" s="6" t="n">
        <v>9</v>
      </c>
      <c r="G32" s="6" t="n">
        <v>8</v>
      </c>
      <c r="H32" s="6" t="n">
        <v>8</v>
      </c>
      <c r="I32" s="4" t="s">
        <v>43</v>
      </c>
      <c r="J32" s="4" t="s">
        <v>241</v>
      </c>
      <c r="K32" s="4" t="s">
        <v>242</v>
      </c>
      <c r="L32" s="4" t="s">
        <v>243</v>
      </c>
    </row>
    <row r="33" customFormat="false" ht="15" hidden="false" customHeight="false" outlineLevel="0" collapsed="false">
      <c r="A33" s="4" t="s">
        <v>244</v>
      </c>
      <c r="B33" s="4" t="s">
        <v>107</v>
      </c>
      <c r="C33" s="4" t="s">
        <v>106</v>
      </c>
      <c r="D33" s="4" t="s">
        <v>153</v>
      </c>
      <c r="E33" s="4" t="s">
        <v>142</v>
      </c>
      <c r="F33" s="6" t="n">
        <v>3</v>
      </c>
      <c r="G33" s="6" t="n">
        <v>2</v>
      </c>
      <c r="H33" s="6" t="n">
        <v>4</v>
      </c>
      <c r="I33" s="4" t="s">
        <v>43</v>
      </c>
      <c r="J33" s="4" t="s">
        <v>245</v>
      </c>
      <c r="K33" s="4" t="s">
        <v>246</v>
      </c>
      <c r="L33" s="4" t="s">
        <v>247</v>
      </c>
    </row>
    <row r="34" customFormat="false" ht="15" hidden="false" customHeight="false" outlineLevel="0" collapsed="false">
      <c r="A34" s="4" t="s">
        <v>248</v>
      </c>
      <c r="B34" s="4" t="s">
        <v>107</v>
      </c>
      <c r="C34" s="4"/>
      <c r="D34" s="4" t="s">
        <v>153</v>
      </c>
      <c r="E34" s="4" t="s">
        <v>142</v>
      </c>
      <c r="F34" s="6" t="n">
        <v>4</v>
      </c>
      <c r="G34" s="6" t="n">
        <v>4</v>
      </c>
      <c r="H34" s="6" t="n">
        <v>3</v>
      </c>
      <c r="I34" s="4" t="s">
        <v>55</v>
      </c>
      <c r="J34" s="4"/>
      <c r="K34" s="4" t="s">
        <v>155</v>
      </c>
      <c r="L34" s="4" t="s">
        <v>156</v>
      </c>
    </row>
    <row r="35" customFormat="false" ht="23.85" hidden="false" customHeight="false" outlineLevel="0" collapsed="false">
      <c r="A35" s="4" t="s">
        <v>116</v>
      </c>
      <c r="B35" s="4" t="s">
        <v>107</v>
      </c>
      <c r="C35" s="4" t="s">
        <v>116</v>
      </c>
      <c r="D35" s="4" t="s">
        <v>141</v>
      </c>
      <c r="E35" s="4" t="s">
        <v>142</v>
      </c>
      <c r="F35" s="6" t="n">
        <v>6</v>
      </c>
      <c r="G35" s="6" t="n">
        <v>3</v>
      </c>
      <c r="H35" s="6" t="n">
        <v>6</v>
      </c>
      <c r="I35" s="4" t="s">
        <v>43</v>
      </c>
      <c r="J35" s="4" t="s">
        <v>249</v>
      </c>
      <c r="K35" s="4" t="s">
        <v>250</v>
      </c>
      <c r="L35" s="4" t="s">
        <v>251</v>
      </c>
    </row>
    <row r="36" customFormat="false" ht="23.85" hidden="false" customHeight="false" outlineLevel="0" collapsed="false">
      <c r="A36" s="4" t="s">
        <v>252</v>
      </c>
      <c r="B36" s="4" t="s">
        <v>107</v>
      </c>
      <c r="C36" s="4"/>
      <c r="D36" s="4" t="s">
        <v>153</v>
      </c>
      <c r="E36" s="4" t="s">
        <v>142</v>
      </c>
      <c r="F36" s="6" t="n">
        <v>5</v>
      </c>
      <c r="G36" s="6" t="n">
        <v>4</v>
      </c>
      <c r="H36" s="6" t="n">
        <v>5</v>
      </c>
      <c r="I36" s="4" t="s">
        <v>46</v>
      </c>
      <c r="J36" s="4" t="s">
        <v>253</v>
      </c>
      <c r="K36" s="4" t="s">
        <v>254</v>
      </c>
      <c r="L36" s="4" t="s">
        <v>255</v>
      </c>
    </row>
    <row r="37" customFormat="false" ht="15" hidden="false" customHeight="false" outlineLevel="0" collapsed="false">
      <c r="A37" s="4" t="s">
        <v>256</v>
      </c>
      <c r="B37" s="4" t="s">
        <v>107</v>
      </c>
      <c r="C37" s="4"/>
      <c r="D37" s="4" t="s">
        <v>129</v>
      </c>
      <c r="E37" s="4" t="s">
        <v>142</v>
      </c>
      <c r="F37" s="6" t="n">
        <v>3</v>
      </c>
      <c r="G37" s="6" t="n">
        <v>2</v>
      </c>
      <c r="H37" s="6" t="n">
        <v>2</v>
      </c>
      <c r="I37" s="4" t="s">
        <v>61</v>
      </c>
      <c r="J37" s="4" t="s">
        <v>114</v>
      </c>
      <c r="K37" s="4" t="s">
        <v>257</v>
      </c>
      <c r="L37" s="4" t="s">
        <v>258</v>
      </c>
    </row>
    <row r="38" customFormat="false" ht="15" hidden="false" customHeight="false" outlineLevel="0" collapsed="false">
      <c r="A38" s="4" t="s">
        <v>259</v>
      </c>
      <c r="B38" s="4" t="s">
        <v>107</v>
      </c>
      <c r="C38" s="4"/>
      <c r="D38" s="4" t="s">
        <v>129</v>
      </c>
      <c r="E38" s="4" t="s">
        <v>142</v>
      </c>
      <c r="F38" s="6" t="n">
        <v>6</v>
      </c>
      <c r="G38" s="6" t="n">
        <v>4</v>
      </c>
      <c r="H38" s="6" t="n">
        <v>8</v>
      </c>
      <c r="I38" s="4" t="s">
        <v>46</v>
      </c>
      <c r="J38" s="4"/>
      <c r="K38" s="4" t="s">
        <v>260</v>
      </c>
      <c r="L38" s="4" t="s">
        <v>183</v>
      </c>
    </row>
    <row r="39" customFormat="false" ht="15" hidden="false" customHeight="false" outlineLevel="0" collapsed="false">
      <c r="A39" s="4" t="s">
        <v>261</v>
      </c>
      <c r="B39" s="4" t="s">
        <v>107</v>
      </c>
      <c r="C39" s="4"/>
      <c r="D39" s="4" t="s">
        <v>129</v>
      </c>
      <c r="E39" s="4" t="s">
        <v>130</v>
      </c>
      <c r="F39" s="6" t="n">
        <v>3</v>
      </c>
      <c r="G39" s="6"/>
      <c r="H39" s="6"/>
      <c r="I39" s="4"/>
      <c r="J39" s="4" t="s">
        <v>262</v>
      </c>
      <c r="K39" s="4" t="s">
        <v>263</v>
      </c>
      <c r="L39" s="4" t="s">
        <v>264</v>
      </c>
    </row>
    <row r="40" customFormat="false" ht="15" hidden="false" customHeight="false" outlineLevel="0" collapsed="false">
      <c r="A40" s="4" t="s">
        <v>265</v>
      </c>
      <c r="B40" s="4" t="s">
        <v>107</v>
      </c>
      <c r="C40" s="4"/>
      <c r="D40" s="4" t="s">
        <v>135</v>
      </c>
      <c r="E40" s="4" t="s">
        <v>130</v>
      </c>
      <c r="F40" s="6" t="n">
        <v>2</v>
      </c>
      <c r="G40" s="6"/>
      <c r="H40" s="6"/>
      <c r="I40" s="4"/>
      <c r="J40" s="4" t="s">
        <v>266</v>
      </c>
      <c r="K40" s="4" t="s">
        <v>267</v>
      </c>
      <c r="L40" s="4" t="s">
        <v>268</v>
      </c>
    </row>
    <row r="41" customFormat="false" ht="15" hidden="false" customHeight="false" outlineLevel="0" collapsed="false">
      <c r="A41" s="4" t="s">
        <v>269</v>
      </c>
      <c r="B41" s="4" t="s">
        <v>107</v>
      </c>
      <c r="C41" s="4"/>
      <c r="D41" s="4" t="s">
        <v>153</v>
      </c>
      <c r="E41" s="4" t="s">
        <v>130</v>
      </c>
      <c r="F41" s="6" t="n">
        <v>5</v>
      </c>
      <c r="G41" s="6"/>
      <c r="H41" s="6"/>
      <c r="I41" s="4" t="s">
        <v>46</v>
      </c>
      <c r="J41" s="4" t="s">
        <v>270</v>
      </c>
      <c r="K41" s="4" t="s">
        <v>271</v>
      </c>
      <c r="L41" s="4" t="s">
        <v>272</v>
      </c>
    </row>
    <row r="42" customFormat="false" ht="23.85" hidden="false" customHeight="false" outlineLevel="0" collapsed="false">
      <c r="A42" s="4" t="s">
        <v>273</v>
      </c>
      <c r="B42" s="4" t="s">
        <v>107</v>
      </c>
      <c r="C42" s="4"/>
      <c r="D42" s="4" t="s">
        <v>135</v>
      </c>
      <c r="E42" s="4" t="s">
        <v>130</v>
      </c>
      <c r="F42" s="6" t="n">
        <v>2</v>
      </c>
      <c r="G42" s="6"/>
      <c r="H42" s="6"/>
      <c r="I42" s="4" t="s">
        <v>64</v>
      </c>
      <c r="J42" s="4" t="s">
        <v>274</v>
      </c>
      <c r="K42" s="4" t="s">
        <v>275</v>
      </c>
      <c r="L42" s="4" t="s">
        <v>276</v>
      </c>
    </row>
    <row r="43" customFormat="false" ht="15" hidden="false" customHeight="false" outlineLevel="0" collapsed="false">
      <c r="A43" s="4" t="s">
        <v>277</v>
      </c>
      <c r="B43" s="4" t="s">
        <v>107</v>
      </c>
      <c r="C43" s="4"/>
      <c r="D43" s="4" t="s">
        <v>153</v>
      </c>
      <c r="E43" s="4" t="s">
        <v>130</v>
      </c>
      <c r="F43" s="6" t="n">
        <v>1</v>
      </c>
      <c r="G43" s="6"/>
      <c r="H43" s="6"/>
      <c r="I43" s="4" t="s">
        <v>67</v>
      </c>
      <c r="J43" s="4" t="s">
        <v>278</v>
      </c>
      <c r="K43" s="4" t="s">
        <v>279</v>
      </c>
      <c r="L43" s="4" t="s">
        <v>280</v>
      </c>
    </row>
    <row r="44" customFormat="false" ht="15" hidden="false" customHeight="false" outlineLevel="0" collapsed="false">
      <c r="A44" s="4" t="s">
        <v>281</v>
      </c>
      <c r="B44" s="4" t="s">
        <v>107</v>
      </c>
      <c r="C44" s="4"/>
      <c r="D44" s="4" t="s">
        <v>129</v>
      </c>
      <c r="E44" s="4" t="s">
        <v>130</v>
      </c>
      <c r="F44" s="6" t="n">
        <v>4</v>
      </c>
      <c r="G44" s="6"/>
      <c r="H44" s="6"/>
      <c r="I44" s="4" t="s">
        <v>64</v>
      </c>
      <c r="J44" s="4" t="s">
        <v>282</v>
      </c>
      <c r="K44" s="4"/>
      <c r="L44" s="4"/>
    </row>
    <row r="45" customFormat="false" ht="15" hidden="false" customHeight="false" outlineLevel="0" collapsed="false">
      <c r="A45" s="4" t="s">
        <v>283</v>
      </c>
      <c r="B45" s="4" t="s">
        <v>284</v>
      </c>
      <c r="C45" s="4"/>
      <c r="D45" s="4" t="s">
        <v>148</v>
      </c>
      <c r="E45" s="4" t="s">
        <v>130</v>
      </c>
      <c r="F45" s="6" t="n">
        <v>0</v>
      </c>
      <c r="G45" s="6"/>
      <c r="H45" s="6"/>
      <c r="I45" s="4"/>
      <c r="J45" s="4" t="s">
        <v>285</v>
      </c>
      <c r="K45" s="4" t="s">
        <v>286</v>
      </c>
      <c r="L45" s="4"/>
    </row>
    <row r="46" customFormat="false" ht="15" hidden="false" customHeight="false" outlineLevel="0" collapsed="false">
      <c r="A46" s="4" t="s">
        <v>287</v>
      </c>
      <c r="B46" s="4" t="s">
        <v>284</v>
      </c>
      <c r="C46" s="4"/>
      <c r="D46" s="4" t="s">
        <v>135</v>
      </c>
      <c r="E46" s="4" t="s">
        <v>130</v>
      </c>
      <c r="F46" s="6" t="n">
        <v>1</v>
      </c>
      <c r="G46" s="6"/>
      <c r="H46" s="6"/>
      <c r="I46" s="4"/>
      <c r="J46" s="4" t="s">
        <v>288</v>
      </c>
      <c r="K46" s="4" t="s">
        <v>289</v>
      </c>
      <c r="L46" s="4" t="s">
        <v>290</v>
      </c>
    </row>
    <row r="47" customFormat="false" ht="15" hidden="false" customHeight="false" outlineLevel="0" collapsed="false">
      <c r="A47" s="4" t="s">
        <v>291</v>
      </c>
      <c r="B47" s="4" t="s">
        <v>284</v>
      </c>
      <c r="C47" s="4"/>
      <c r="D47" s="4" t="s">
        <v>135</v>
      </c>
      <c r="E47" s="4" t="s">
        <v>130</v>
      </c>
      <c r="F47" s="6" t="n">
        <v>2</v>
      </c>
      <c r="G47" s="6"/>
      <c r="H47" s="6"/>
      <c r="I47" s="4"/>
      <c r="J47" s="4" t="s">
        <v>292</v>
      </c>
      <c r="K47" s="4" t="s">
        <v>293</v>
      </c>
      <c r="L47" s="4"/>
    </row>
    <row r="48" customFormat="false" ht="15" hidden="false" customHeight="false" outlineLevel="0" collapsed="false">
      <c r="A48" s="4" t="s">
        <v>294</v>
      </c>
      <c r="B48" s="4" t="s">
        <v>284</v>
      </c>
      <c r="C48" s="4"/>
      <c r="D48" s="4" t="s">
        <v>129</v>
      </c>
      <c r="E48" s="4" t="s">
        <v>130</v>
      </c>
      <c r="F48" s="6" t="n">
        <v>3</v>
      </c>
      <c r="G48" s="6"/>
      <c r="H48" s="6"/>
      <c r="I48" s="4"/>
      <c r="J48" s="4" t="s">
        <v>295</v>
      </c>
      <c r="K48" s="4" t="s">
        <v>296</v>
      </c>
      <c r="L48" s="4" t="s">
        <v>297</v>
      </c>
    </row>
    <row r="49" customFormat="false" ht="15" hidden="false" customHeight="false" outlineLevel="0" collapsed="false">
      <c r="A49" s="4" t="s">
        <v>298</v>
      </c>
      <c r="B49" s="4" t="s">
        <v>107</v>
      </c>
      <c r="C49" s="4" t="s">
        <v>106</v>
      </c>
      <c r="D49" s="4" t="s">
        <v>148</v>
      </c>
      <c r="E49" s="4" t="s">
        <v>142</v>
      </c>
      <c r="F49" s="6" t="n">
        <v>1</v>
      </c>
      <c r="G49" s="6" t="n">
        <v>1</v>
      </c>
      <c r="H49" s="6" t="n">
        <v>1</v>
      </c>
      <c r="I49" s="4"/>
      <c r="J49" s="4"/>
      <c r="K49" s="4" t="s">
        <v>235</v>
      </c>
      <c r="L49" s="4" t="s">
        <v>195</v>
      </c>
    </row>
    <row r="50" customFormat="false" ht="15" hidden="false" customHeight="false" outlineLevel="0" collapsed="false">
      <c r="A50" s="4" t="s">
        <v>299</v>
      </c>
      <c r="B50" s="4" t="s">
        <v>107</v>
      </c>
      <c r="C50" s="4"/>
      <c r="D50" s="4" t="s">
        <v>148</v>
      </c>
      <c r="E50" s="4" t="s">
        <v>142</v>
      </c>
      <c r="F50" s="6" t="n">
        <v>1</v>
      </c>
      <c r="G50" s="6" t="n">
        <v>1</v>
      </c>
      <c r="H50" s="6" t="n">
        <v>1</v>
      </c>
      <c r="I50" s="4"/>
      <c r="J50" s="4"/>
      <c r="K50" s="4" t="s">
        <v>300</v>
      </c>
      <c r="L50" s="4" t="s">
        <v>301</v>
      </c>
    </row>
    <row r="51" customFormat="false" ht="15" hidden="false" customHeight="false" outlineLevel="0" collapsed="false">
      <c r="A51" s="4" t="s">
        <v>302</v>
      </c>
      <c r="B51" s="4" t="s">
        <v>284</v>
      </c>
      <c r="C51" s="4"/>
      <c r="D51" s="4" t="s">
        <v>148</v>
      </c>
      <c r="E51" s="4" t="s">
        <v>142</v>
      </c>
      <c r="F51" s="6" t="n">
        <v>1</v>
      </c>
      <c r="G51" s="6" t="n">
        <v>1</v>
      </c>
      <c r="H51" s="6" t="n">
        <v>1</v>
      </c>
      <c r="I51" s="4"/>
      <c r="J51" s="4"/>
      <c r="K51" s="4" t="s">
        <v>303</v>
      </c>
      <c r="L51" s="4" t="s">
        <v>304</v>
      </c>
    </row>
    <row r="52" customFormat="false" ht="15" hidden="false" customHeight="false" outlineLevel="0" collapsed="false">
      <c r="A52" s="4" t="s">
        <v>305</v>
      </c>
      <c r="B52" s="4" t="s">
        <v>107</v>
      </c>
      <c r="C52" s="4"/>
      <c r="D52" s="4" t="s">
        <v>148</v>
      </c>
      <c r="E52" s="4" t="s">
        <v>142</v>
      </c>
      <c r="F52" s="6" t="n">
        <v>1</v>
      </c>
      <c r="G52" s="6" t="n">
        <v>1</v>
      </c>
      <c r="H52" s="6" t="n">
        <v>2</v>
      </c>
      <c r="I52" s="4" t="s">
        <v>46</v>
      </c>
      <c r="J52" s="4"/>
      <c r="K52" s="4" t="s">
        <v>271</v>
      </c>
      <c r="L52" s="4" t="s">
        <v>272</v>
      </c>
    </row>
  </sheetData>
  <autoFilter ref="A1:L52"/>
  <dataValidations count="3">
    <dataValidation allowBlank="true" errorStyle="stop" operator="between" showDropDown="false" showErrorMessage="false" showInputMessage="false" sqref="B2:B300" type="list">
      <formula1>"Ufficio,Soci &amp; Nemici,Neutrale"</formula1>
      <formula2>0</formula2>
    </dataValidation>
    <dataValidation allowBlank="true" errorStyle="stop" operator="between" showDropDown="false" showErrorMessage="false" showInputMessage="false" sqref="D2:D300" type="list">
      <formula1>"Comune,Rara,Epica,Leggendaria,Token"</formula1>
      <formula2>0</formula2>
    </dataValidation>
    <dataValidation allowBlank="true" errorStyle="stop" operator="between" showDropDown="false" showErrorMessage="false" showInputMessage="false" sqref="E2:E300" type="list">
      <formula1>"Collega,Pratica,Strumento,Luogo"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306</v>
      </c>
    </row>
    <row r="3" customFormat="false" ht="15" hidden="false" customHeight="false" outlineLevel="0" collapsed="false">
      <c r="A3" s="8" t="s">
        <v>71</v>
      </c>
      <c r="B3" s="8" t="s">
        <v>307</v>
      </c>
      <c r="C3" s="8" t="s">
        <v>308</v>
      </c>
      <c r="D3" s="8" t="s">
        <v>309</v>
      </c>
      <c r="E3" s="8" t="s">
        <v>310</v>
      </c>
      <c r="F3" s="8" t="s">
        <v>311</v>
      </c>
      <c r="G3" s="8" t="s">
        <v>37</v>
      </c>
    </row>
    <row r="4" customFormat="false" ht="15" hidden="false" customHeight="false" outlineLevel="0" collapsed="false">
      <c r="A4" s="9" t="s">
        <v>77</v>
      </c>
      <c r="B4" s="9" t="n">
        <f aca="false">COUNTIF(Carte!$B$2:$B$300,A4)-COUNTIFS(Carte!$B$2:$B$300,A4,Carte!$D$2:$D$300,"Token")</f>
        <v>24</v>
      </c>
      <c r="C4" s="10" t="n">
        <f aca="false">IFERROR((SUMIF(Carte!$B$2:$B$300,A4,Carte!$F$2:$F$300)-SUMIFS(Carte!$F$2:$F$300,Carte!$B$2:$B$300,A4,Carte!$D$2:$D$300,"Token"))/B4,0)</f>
        <v>3.5</v>
      </c>
      <c r="D4" s="9" t="n">
        <f aca="false">COUNTIFS(Carte!$B$2:$B$300,A4,Carte!$E$2:$E$300,"Collega",Carte!$D$2:$D$300,"&lt;&gt;Token")</f>
        <v>10</v>
      </c>
      <c r="E4" s="9" t="n">
        <f aca="false">COUNTIFS(Carte!$B$2:$B$300,A4,Carte!$E$2:$E$300,"Pratica",Carte!$D$2:$D$300,"&lt;&gt;Token")</f>
        <v>12</v>
      </c>
      <c r="F4" s="9" t="n">
        <f aca="false">COUNTIFS(Carte!$B$2:$B$300,A4,Carte!$E$2:$E$300,"Strumento")</f>
        <v>2</v>
      </c>
      <c r="G4" s="9" t="n">
        <f aca="false">COUNTIFS(Carte!$B$2:$B$300,A4,Carte!$D$2:$D$300,"Leggendaria")</f>
        <v>5</v>
      </c>
    </row>
    <row r="5" customFormat="false" ht="15" hidden="false" customHeight="false" outlineLevel="0" collapsed="false">
      <c r="A5" s="9" t="s">
        <v>107</v>
      </c>
      <c r="B5" s="9" t="n">
        <f aca="false">COUNTIF(Carte!$B$2:$B$300,A5)-COUNTIFS(Carte!$B$2:$B$300,A5,Carte!$D$2:$D$300,"Token")</f>
        <v>18</v>
      </c>
      <c r="C5" s="10" t="n">
        <f aca="false">IFERROR((SUMIF(Carte!$B$2:$B$300,A5,Carte!$F$2:$F$300)-SUMIFS(Carte!$F$2:$F$300,Carte!$B$2:$B$300,A5,Carte!$D$2:$D$300,"Token"))/B5,0)</f>
        <v>4.61111111111111</v>
      </c>
      <c r="D5" s="9" t="n">
        <f aca="false">COUNTIFS(Carte!$B$2:$B$300,A5,Carte!$E$2:$E$300,"Collega",Carte!$D$2:$D$300,"&lt;&gt;Token")</f>
        <v>12</v>
      </c>
      <c r="E5" s="9" t="n">
        <f aca="false">COUNTIFS(Carte!$B$2:$B$300,A5,Carte!$E$2:$E$300,"Pratica",Carte!$D$2:$D$300,"&lt;&gt;Token")</f>
        <v>6</v>
      </c>
      <c r="F5" s="9" t="n">
        <f aca="false">COUNTIFS(Carte!$B$2:$B$300,A5,Carte!$E$2:$E$300,"Strumento")</f>
        <v>0</v>
      </c>
      <c r="G5" s="9" t="n">
        <f aca="false">COUNTIFS(Carte!$B$2:$B$300,A5,Carte!$D$2:$D$300,"Leggendaria")</f>
        <v>7</v>
      </c>
    </row>
    <row r="6" customFormat="false" ht="15" hidden="false" customHeight="false" outlineLevel="0" collapsed="false">
      <c r="A6" s="9" t="s">
        <v>284</v>
      </c>
      <c r="B6" s="9" t="n">
        <f aca="false">COUNTIF(Carte!$B$2:$B$300,A6)-COUNTIFS(Carte!$B$2:$B$300,A6,Carte!$D$2:$D$300,"Token")</f>
        <v>3</v>
      </c>
      <c r="C6" s="10" t="n">
        <f aca="false">IFERROR((SUMIF(Carte!$B$2:$B$300,A6,Carte!$F$2:$F$300)-SUMIFS(Carte!$F$2:$F$300,Carte!$B$2:$B$300,A6,Carte!$D$2:$D$300,"Token"))/B6,0)</f>
        <v>2</v>
      </c>
      <c r="D6" s="9" t="n">
        <f aca="false">COUNTIFS(Carte!$B$2:$B$300,A6,Carte!$E$2:$E$300,"Collega",Carte!$D$2:$D$300,"&lt;&gt;Token")</f>
        <v>0</v>
      </c>
      <c r="E6" s="9" t="n">
        <f aca="false">COUNTIFS(Carte!$B$2:$B$300,A6,Carte!$E$2:$E$300,"Pratica",Carte!$D$2:$D$300,"&lt;&gt;Token")</f>
        <v>3</v>
      </c>
      <c r="F6" s="9" t="n">
        <f aca="false">COUNTIFS(Carte!$B$2:$B$300,A6,Carte!$E$2:$E$300,"Strumento")</f>
        <v>0</v>
      </c>
      <c r="G6" s="9" t="n">
        <f aca="false">COUNTIFS(Carte!$B$2:$B$300,A6,Carte!$D$2:$D$300,"Leggendaria")</f>
        <v>0</v>
      </c>
    </row>
    <row r="7" customFormat="false" ht="15" hidden="false" customHeight="false" outlineLevel="0" collapsed="false">
      <c r="A7" s="11" t="s">
        <v>312</v>
      </c>
      <c r="B7" s="12" t="n">
        <f aca="false">SUM(B4:B6)</f>
        <v>45</v>
      </c>
      <c r="C7" s="13" t="n">
        <f aca="false">IFERROR(SUMPRODUCT((Carte!$D$2:$D$300&lt;&gt;"Token")*(Carte!$F$2:$F$300))/B7,0)</f>
        <v>3.84444444444444</v>
      </c>
      <c r="D7" s="12" t="n">
        <f aca="false">SUM(D4:D6)</f>
        <v>22</v>
      </c>
      <c r="E7" s="12" t="n">
        <f aca="false">SUM(E4:E6)</f>
        <v>21</v>
      </c>
      <c r="F7" s="12" t="n">
        <f aca="false">SUM(F4:F6)</f>
        <v>2</v>
      </c>
      <c r="G7" s="12" t="n">
        <f aca="false">SUM(G4:G6)</f>
        <v>12</v>
      </c>
    </row>
    <row r="9" customFormat="false" ht="15" hidden="false" customHeight="false" outlineLevel="0" collapsed="false">
      <c r="A9" s="2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314</v>
      </c>
    </row>
    <row r="3" customFormat="false" ht="15" hidden="false" customHeight="false" outlineLevel="0" collapsed="false">
      <c r="A3" s="3" t="s">
        <v>315</v>
      </c>
      <c r="B3" s="3" t="s">
        <v>124</v>
      </c>
      <c r="C3" s="3" t="s">
        <v>316</v>
      </c>
    </row>
    <row r="4" customFormat="false" ht="15" hidden="false" customHeight="false" outlineLevel="0" collapsed="false">
      <c r="A4" s="4" t="s">
        <v>80</v>
      </c>
      <c r="B4" s="4" t="s">
        <v>317</v>
      </c>
      <c r="C4" s="4" t="s">
        <v>318</v>
      </c>
    </row>
    <row r="5" customFormat="false" ht="15" hidden="false" customHeight="false" outlineLevel="0" collapsed="false">
      <c r="A5" s="4" t="s">
        <v>85</v>
      </c>
      <c r="B5" s="4" t="s">
        <v>317</v>
      </c>
      <c r="C5" s="4" t="s">
        <v>319</v>
      </c>
    </row>
    <row r="6" customFormat="false" ht="15" hidden="false" customHeight="false" outlineLevel="0" collapsed="false">
      <c r="A6" s="4" t="s">
        <v>320</v>
      </c>
      <c r="B6" s="4" t="s">
        <v>317</v>
      </c>
      <c r="C6" s="7" t="s">
        <v>321</v>
      </c>
    </row>
    <row r="7" customFormat="false" ht="15" hidden="false" customHeight="false" outlineLevel="0" collapsed="false">
      <c r="A7" s="4" t="s">
        <v>322</v>
      </c>
      <c r="B7" s="4" t="s">
        <v>317</v>
      </c>
      <c r="C7" s="7" t="s">
        <v>100</v>
      </c>
    </row>
    <row r="8" customFormat="false" ht="15" hidden="false" customHeight="false" outlineLevel="0" collapsed="false">
      <c r="A8" s="4" t="s">
        <v>323</v>
      </c>
      <c r="B8" s="4" t="s">
        <v>317</v>
      </c>
      <c r="C8" s="7" t="s">
        <v>324</v>
      </c>
    </row>
    <row r="9" customFormat="false" ht="15" hidden="false" customHeight="false" outlineLevel="0" collapsed="false">
      <c r="A9" s="4" t="s">
        <v>325</v>
      </c>
      <c r="B9" s="4" t="s">
        <v>317</v>
      </c>
      <c r="C9" s="7" t="s">
        <v>100</v>
      </c>
    </row>
    <row r="10" customFormat="false" ht="15" hidden="false" customHeight="false" outlineLevel="0" collapsed="false">
      <c r="A10" s="4" t="s">
        <v>326</v>
      </c>
      <c r="B10" s="4" t="s">
        <v>317</v>
      </c>
      <c r="C10" s="7" t="s">
        <v>327</v>
      </c>
    </row>
    <row r="11" customFormat="false" ht="15" hidden="false" customHeight="false" outlineLevel="0" collapsed="false">
      <c r="A11" s="4" t="s">
        <v>328</v>
      </c>
      <c r="B11" s="4" t="s">
        <v>317</v>
      </c>
      <c r="C11" s="7" t="s">
        <v>329</v>
      </c>
    </row>
    <row r="12" customFormat="false" ht="15" hidden="false" customHeight="false" outlineLevel="0" collapsed="false">
      <c r="A12" s="4" t="s">
        <v>330</v>
      </c>
      <c r="B12" s="4" t="s">
        <v>331</v>
      </c>
      <c r="C12" s="4" t="s">
        <v>332</v>
      </c>
    </row>
    <row r="13" customFormat="false" ht="15" hidden="false" customHeight="false" outlineLevel="0" collapsed="false">
      <c r="A13" s="4" t="s">
        <v>333</v>
      </c>
      <c r="B13" s="4" t="s">
        <v>334</v>
      </c>
      <c r="C13" s="4" t="s">
        <v>335</v>
      </c>
    </row>
  </sheetData>
  <autoFilter ref="A3:C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2026-10-01T19:41:02Z</dcterms:created>
  <dc:creator>openpyxl</dc:creator>
  <dc:description/>
  <dc:language>en-US</dc:language>
  <cp:lastModifiedBy/>
  <dcterms:modified xsi:type="dcterms:W3CDTF">2026-10-01T19:41:02Z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